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a6fda7d0a30e0e1a/Documents/"/>
    </mc:Choice>
  </mc:AlternateContent>
  <xr:revisionPtr revIDLastSave="0" documentId="8_{92482968-D906-4029-A69E-A20EBAE4A9BD}" xr6:coauthVersionLast="47" xr6:coauthVersionMax="47" xr10:uidLastSave="{00000000-0000-0000-0000-000000000000}"/>
  <bookViews>
    <workbookView xWindow="-108" yWindow="-108" windowWidth="23256" windowHeight="12456" activeTab="2" xr2:uid="{A0168BDC-AC4B-4950-AEC1-14DE1B313DB3}"/>
  </bookViews>
  <sheets>
    <sheet name="PatientData" sheetId="1" r:id="rId1"/>
    <sheet name="PivotTable" sheetId="2" r:id="rId2"/>
    <sheet name="Dashboard" sheetId="3" r:id="rId3"/>
  </sheets>
  <definedNames>
    <definedName name="Slicer_Department">#N/A</definedName>
    <definedName name="Slicer_Doctor">#N/A</definedName>
    <definedName name="Slicer_Gender">#N/A</definedName>
    <definedName name="Slicer_Payment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2" i="1"/>
</calcChain>
</file>

<file path=xl/sharedStrings.xml><?xml version="1.0" encoding="utf-8"?>
<sst xmlns="http://schemas.openxmlformats.org/spreadsheetml/2006/main" count="402" uniqueCount="170">
  <si>
    <t>PatientID</t>
  </si>
  <si>
    <t>Name</t>
  </si>
  <si>
    <t>Age</t>
  </si>
  <si>
    <t>Gender</t>
  </si>
  <si>
    <t>Department</t>
  </si>
  <si>
    <t>Doctor</t>
  </si>
  <si>
    <t>AdmissionDate</t>
  </si>
  <si>
    <t>DischargeDate</t>
  </si>
  <si>
    <t>RoomNo</t>
  </si>
  <si>
    <t>Diagnosis</t>
  </si>
  <si>
    <t>TreatmentCost</t>
  </si>
  <si>
    <t>PaymentStatus</t>
  </si>
  <si>
    <t>P001</t>
  </si>
  <si>
    <t>Rajesh Kumar</t>
  </si>
  <si>
    <t>M</t>
  </si>
  <si>
    <t>Cardiology</t>
  </si>
  <si>
    <t>Dr. Sharma</t>
  </si>
  <si>
    <t>01-Jan-2025</t>
  </si>
  <si>
    <t>05-Jan-2025</t>
  </si>
  <si>
    <t>Heart Disease</t>
  </si>
  <si>
    <t>Paid</t>
  </si>
  <si>
    <t>P002</t>
  </si>
  <si>
    <t>Priya Singh</t>
  </si>
  <si>
    <t>F</t>
  </si>
  <si>
    <t>Neurology</t>
  </si>
  <si>
    <t>Dr. Mehta</t>
  </si>
  <si>
    <t>03-Jan-2025</t>
  </si>
  <si>
    <t>10-Jan-2025</t>
  </si>
  <si>
    <t>Migraine</t>
  </si>
  <si>
    <t>Pending</t>
  </si>
  <si>
    <t>P003</t>
  </si>
  <si>
    <t>Arjun Patel</t>
  </si>
  <si>
    <t>Orthopedics</t>
  </si>
  <si>
    <t>Dr. Joshi</t>
  </si>
  <si>
    <t>12-Jan-2025</t>
  </si>
  <si>
    <t>Fracture</t>
  </si>
  <si>
    <t>P004</t>
  </si>
  <si>
    <t>Sneha Desai</t>
  </si>
  <si>
    <t>06-Jan-2025</t>
  </si>
  <si>
    <t>14-Jan-2025</t>
  </si>
  <si>
    <t>Hypertension</t>
  </si>
  <si>
    <t>P005</t>
  </si>
  <si>
    <t>Vivek Rao</t>
  </si>
  <si>
    <t>Dermatology</t>
  </si>
  <si>
    <t>Dr. Kapoor</t>
  </si>
  <si>
    <t>08-Jan-2025</t>
  </si>
  <si>
    <t>Skin Allergy</t>
  </si>
  <si>
    <t>P006</t>
  </si>
  <si>
    <t>Neha Jain</t>
  </si>
  <si>
    <t>Pediatrics</t>
  </si>
  <si>
    <t>Dr. Sinha</t>
  </si>
  <si>
    <t>13-Jan-2025</t>
  </si>
  <si>
    <t>Fever</t>
  </si>
  <si>
    <t>P007</t>
  </si>
  <si>
    <t>Anil Kumar</t>
  </si>
  <si>
    <t>20-Jan-2025</t>
  </si>
  <si>
    <t>Angina</t>
  </si>
  <si>
    <t>P008</t>
  </si>
  <si>
    <t>Kavita More</t>
  </si>
  <si>
    <t>Gynecology</t>
  </si>
  <si>
    <t>Dr. Verma</t>
  </si>
  <si>
    <t>18-Jan-2025</t>
  </si>
  <si>
    <t>Pregnancy Care</t>
  </si>
  <si>
    <t>P009</t>
  </si>
  <si>
    <t>Rohit Shah</t>
  </si>
  <si>
    <t>15-Jan-2025</t>
  </si>
  <si>
    <t>22-Jan-2025</t>
  </si>
  <si>
    <t>Joint Pain</t>
  </si>
  <si>
    <t>P010</t>
  </si>
  <si>
    <t>Pooja Nair</t>
  </si>
  <si>
    <t>17-Jan-2025</t>
  </si>
  <si>
    <t>25-Jan-2025</t>
  </si>
  <si>
    <t>P011</t>
  </si>
  <si>
    <t>Sunil Rathi</t>
  </si>
  <si>
    <t>28-Jan-2025</t>
  </si>
  <si>
    <t>Bypass Surgery</t>
  </si>
  <si>
    <t>P012</t>
  </si>
  <si>
    <t>Asha Kulkarni</t>
  </si>
  <si>
    <t>21-Jan-2025</t>
  </si>
  <si>
    <t>24-Jan-2025</t>
  </si>
  <si>
    <t>Skin Infection</t>
  </si>
  <si>
    <t>P013</t>
  </si>
  <si>
    <t>Mohan Yadav</t>
  </si>
  <si>
    <t>23-Jan-2025</t>
  </si>
  <si>
    <t>26-Jan-2025</t>
  </si>
  <si>
    <t>Viral Fever</t>
  </si>
  <si>
    <t>P014</t>
  </si>
  <si>
    <t>Meena Joshi</t>
  </si>
  <si>
    <t>31-Jan-2025</t>
  </si>
  <si>
    <t>Fibroids</t>
  </si>
  <si>
    <t>P015</t>
  </si>
  <si>
    <t>Deepak Rane</t>
  </si>
  <si>
    <t>27-Jan-2025</t>
  </si>
  <si>
    <t>03-Feb-2025</t>
  </si>
  <si>
    <t>Back Pain</t>
  </si>
  <si>
    <t>P016</t>
  </si>
  <si>
    <t>Rina Paul</t>
  </si>
  <si>
    <t>29-Jan-2025</t>
  </si>
  <si>
    <t>02-Feb-2025</t>
  </si>
  <si>
    <t>Epilepsy</t>
  </si>
  <si>
    <t>P017</t>
  </si>
  <si>
    <t>Kunal Das</t>
  </si>
  <si>
    <t>30-Jan-2025</t>
  </si>
  <si>
    <t>06-Feb-2025</t>
  </si>
  <si>
    <t>Heart Blockage</t>
  </si>
  <si>
    <t>P018</t>
  </si>
  <si>
    <t>Shweta Iyer</t>
  </si>
  <si>
    <t>01-Feb-2025</t>
  </si>
  <si>
    <t>04-Feb-2025</t>
  </si>
  <si>
    <t>Psoriasis</t>
  </si>
  <si>
    <t>P019</t>
  </si>
  <si>
    <t>Raj Malhotra</t>
  </si>
  <si>
    <t>07-Feb-2025</t>
  </si>
  <si>
    <t>Asthma</t>
  </si>
  <si>
    <t>P020</t>
  </si>
  <si>
    <t>Seema Rani</t>
  </si>
  <si>
    <t>09-Feb-2025</t>
  </si>
  <si>
    <t>PCOS</t>
  </si>
  <si>
    <t>P021</t>
  </si>
  <si>
    <t>Ajay Pandit</t>
  </si>
  <si>
    <t>05-Feb-2025</t>
  </si>
  <si>
    <t>10-Feb-2025</t>
  </si>
  <si>
    <t>P022</t>
  </si>
  <si>
    <t>Nisha Goyal</t>
  </si>
  <si>
    <t>12-Feb-2025</t>
  </si>
  <si>
    <t>Paralysis</t>
  </si>
  <si>
    <t>P023</t>
  </si>
  <si>
    <t>Sanjay Jadhav</t>
  </si>
  <si>
    <t>14-Feb-2025</t>
  </si>
  <si>
    <t>Heart Attack</t>
  </si>
  <si>
    <t>P024</t>
  </si>
  <si>
    <t>Divya Singh</t>
  </si>
  <si>
    <t>08-Feb-2025</t>
  </si>
  <si>
    <t>11-Feb-2025</t>
  </si>
  <si>
    <t>Acne</t>
  </si>
  <si>
    <t>P025</t>
  </si>
  <si>
    <t>Harish Patel</t>
  </si>
  <si>
    <t>15-Feb-2025</t>
  </si>
  <si>
    <t>Arthritis</t>
  </si>
  <si>
    <t>P026</t>
  </si>
  <si>
    <t>Rekha Bhosle</t>
  </si>
  <si>
    <t>13-Feb-2025</t>
  </si>
  <si>
    <t>Pneumonia</t>
  </si>
  <si>
    <t>P027</t>
  </si>
  <si>
    <t>Gaurav Thakur</t>
  </si>
  <si>
    <t>16-Feb-2025</t>
  </si>
  <si>
    <t>Infertility</t>
  </si>
  <si>
    <t>P028</t>
  </si>
  <si>
    <t>Anjali Nair</t>
  </si>
  <si>
    <t>18-Feb-2025</t>
  </si>
  <si>
    <t>P029</t>
  </si>
  <si>
    <t>Suresh Rao</t>
  </si>
  <si>
    <t>20-Feb-2025</t>
  </si>
  <si>
    <t>Pacemaker</t>
  </si>
  <si>
    <t>P030</t>
  </si>
  <si>
    <t>Kirti Kulkarni</t>
  </si>
  <si>
    <t>19-Feb-2025</t>
  </si>
  <si>
    <t>Skin Burn</t>
  </si>
  <si>
    <t>Count of PatientID</t>
  </si>
  <si>
    <t>Total Patients</t>
  </si>
  <si>
    <t>Sum of TreatmentCost</t>
  </si>
  <si>
    <t>(All)</t>
  </si>
  <si>
    <t>Row Labels</t>
  </si>
  <si>
    <t>Grand Total</t>
  </si>
  <si>
    <t>Pending Amount</t>
  </si>
  <si>
    <t>Average of TreatmentCost</t>
  </si>
  <si>
    <t>stay days</t>
  </si>
  <si>
    <t>Average of stay days</t>
  </si>
  <si>
    <t>count of patientID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</si>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</sst>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4">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0150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[hospital-excel-dashboard.xlsx]PivotTable!PivotTable9</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PivotTable!$B$11</c:f>
              <c:strCache>
                <c:ptCount val="1"/>
                <c:pt idx="0">
                  <c:v>Total</c:v>
                </c:pt>
              </c:strCache>
            </c:strRef>
          </c:tx>
          <c:spPr>
            <a:solidFill>
              <a:schemeClr val="accent1"/>
            </a:solidFill>
            <a:ln>
              <a:noFill/>
            </a:ln>
            <a:effectLst/>
          </c:spPr>
          <c:invertIfNegative val="0"/>
          <c:cat>
            <c:strRef>
              <c:f>PivotTable!$A$12:$A$18</c:f>
              <c:strCache>
                <c:ptCount val="6"/>
                <c:pt idx="0">
                  <c:v>Cardiology</c:v>
                </c:pt>
                <c:pt idx="1">
                  <c:v>Dermatology</c:v>
                </c:pt>
                <c:pt idx="2">
                  <c:v>Gynecology</c:v>
                </c:pt>
                <c:pt idx="3">
                  <c:v>Neurology</c:v>
                </c:pt>
                <c:pt idx="4">
                  <c:v>Orthopedics</c:v>
                </c:pt>
                <c:pt idx="5">
                  <c:v>Pediatrics</c:v>
                </c:pt>
              </c:strCache>
            </c:strRef>
          </c:cat>
          <c:val>
            <c:numRef>
              <c:f>PivotTable!$B$12:$B$18</c:f>
              <c:numCache>
                <c:formatCode>General</c:formatCode>
                <c:ptCount val="6"/>
                <c:pt idx="0">
                  <c:v>7</c:v>
                </c:pt>
                <c:pt idx="1">
                  <c:v>5</c:v>
                </c:pt>
                <c:pt idx="2">
                  <c:v>4</c:v>
                </c:pt>
                <c:pt idx="3">
                  <c:v>5</c:v>
                </c:pt>
                <c:pt idx="4">
                  <c:v>5</c:v>
                </c:pt>
                <c:pt idx="5">
                  <c:v>4</c:v>
                </c:pt>
              </c:numCache>
            </c:numRef>
          </c:val>
          <c:extLst>
            <c:ext xmlns:c16="http://schemas.microsoft.com/office/drawing/2014/chart" uri="{C3380CC4-5D6E-409C-BE32-E72D297353CC}">
              <c16:uniqueId val="{00000000-498D-4CCE-9AEA-8BDC34FAD963}"/>
            </c:ext>
          </c:extLst>
        </c:ser>
        <c:dLbls>
          <c:showLegendKey val="0"/>
          <c:showVal val="0"/>
          <c:showCatName val="0"/>
          <c:showSerName val="0"/>
          <c:showPercent val="0"/>
          <c:showBubbleSize val="0"/>
        </c:dLbls>
        <c:gapWidth val="219"/>
        <c:overlap val="-27"/>
        <c:axId val="554814800"/>
        <c:axId val="554815280"/>
      </c:barChart>
      <c:catAx>
        <c:axId val="55481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15280"/>
        <c:crosses val="autoZero"/>
        <c:auto val="1"/>
        <c:lblAlgn val="ctr"/>
        <c:lblOffset val="100"/>
        <c:noMultiLvlLbl val="0"/>
      </c:catAx>
      <c:valAx>
        <c:axId val="55481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1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Revenue</a:t>
            </a:r>
            <a:r>
              <a:rPr lang="en-US" sz="1200" b="1" baseline="0"/>
              <a:t> By Department</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PivotTable!$B$20</c:f>
              <c:strCache>
                <c:ptCount val="1"/>
                <c:pt idx="0">
                  <c:v>Total</c:v>
                </c:pt>
              </c:strCache>
            </c:strRef>
          </c:tx>
          <c:spPr>
            <a:solidFill>
              <a:schemeClr val="accent1"/>
            </a:solidFill>
            <a:ln>
              <a:noFill/>
            </a:ln>
            <a:effectLst/>
          </c:spPr>
          <c:invertIfNegative val="0"/>
          <c:cat>
            <c:strRef>
              <c:f>PivotTable!$A$21:$A$27</c:f>
              <c:strCache>
                <c:ptCount val="6"/>
                <c:pt idx="0">
                  <c:v>Cardiology</c:v>
                </c:pt>
                <c:pt idx="1">
                  <c:v>Dermatology</c:v>
                </c:pt>
                <c:pt idx="2">
                  <c:v>Gynecology</c:v>
                </c:pt>
                <c:pt idx="3">
                  <c:v>Neurology</c:v>
                </c:pt>
                <c:pt idx="4">
                  <c:v>Orthopedics</c:v>
                </c:pt>
                <c:pt idx="5">
                  <c:v>Pediatrics</c:v>
                </c:pt>
              </c:strCache>
            </c:strRef>
          </c:cat>
          <c:val>
            <c:numRef>
              <c:f>PivotTable!$B$21:$B$27</c:f>
              <c:numCache>
                <c:formatCode>General</c:formatCode>
                <c:ptCount val="6"/>
                <c:pt idx="0">
                  <c:v>446000</c:v>
                </c:pt>
                <c:pt idx="1">
                  <c:v>71000</c:v>
                </c:pt>
                <c:pt idx="2">
                  <c:v>148000</c:v>
                </c:pt>
                <c:pt idx="3">
                  <c:v>162000</c:v>
                </c:pt>
                <c:pt idx="4">
                  <c:v>147000</c:v>
                </c:pt>
                <c:pt idx="5">
                  <c:v>43000</c:v>
                </c:pt>
              </c:numCache>
            </c:numRef>
          </c:val>
          <c:extLst>
            <c:ext xmlns:c16="http://schemas.microsoft.com/office/drawing/2014/chart" uri="{C3380CC4-5D6E-409C-BE32-E72D297353CC}">
              <c16:uniqueId val="{00000000-558B-4397-94E7-4D62A619BEF8}"/>
            </c:ext>
          </c:extLst>
        </c:ser>
        <c:dLbls>
          <c:showLegendKey val="0"/>
          <c:showVal val="0"/>
          <c:showCatName val="0"/>
          <c:showSerName val="0"/>
          <c:showPercent val="0"/>
          <c:showBubbleSize val="0"/>
        </c:dLbls>
        <c:gapWidth val="150"/>
        <c:overlap val="100"/>
        <c:axId val="1001491296"/>
        <c:axId val="1001491776"/>
      </c:barChart>
      <c:catAx>
        <c:axId val="100149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491776"/>
        <c:crosses val="autoZero"/>
        <c:auto val="1"/>
        <c:lblAlgn val="ctr"/>
        <c:lblOffset val="100"/>
        <c:noMultiLvlLbl val="0"/>
      </c:catAx>
      <c:valAx>
        <c:axId val="100149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49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[hospital-excel-dashboard.xlsx]PivotTable!PivotTable11</c:name>
    <c:fmtId val="2"/>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IN" sz="1200"/>
              <a:t>Payment</a:t>
            </a:r>
            <a:r>
              <a:rPr lang="en-IN" sz="1200" baseline="0"/>
              <a:t> Status Distribution</a:t>
            </a:r>
            <a:endParaRPr lang="en-IN" sz="1200"/>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PivotTable!$G$11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06-48FC-A7F0-EAD50C55BC1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06-48FC-A7F0-EAD50C55BC1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PivotTable!$F$12:$F$14</c:f>
              <c:strCache>
                <c:ptCount val="2"/>
                <c:pt idx="0">
                  <c:v>Paid</c:v>
                </c:pt>
                <c:pt idx="1">
                  <c:v>Pending</c:v>
                </c:pt>
              </c:strCache>
            </c:strRef>
          </c:cat>
          <c:val>
            <c:numRef>
              <c:f>PivotTable!$G$12:$G$14</c:f>
              <c:numCache>
                <c:formatCode>General</c:formatCode>
                <c:ptCount val="2"/>
                <c:pt idx="0">
                  <c:v>20</c:v>
                </c:pt>
                <c:pt idx="1">
                  <c:v>10</c:v>
                </c:pt>
              </c:numCache>
            </c:numRef>
          </c:val>
          <c:extLst>
            <c:ext xmlns:c16="http://schemas.microsoft.com/office/drawing/2014/chart" uri="{C3380CC4-5D6E-409C-BE32-E72D297353CC}">
              <c16:uniqueId val="{00000000-6BD6-4016-B5A0-AF718ACB7D4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 Patients per</a:t>
            </a:r>
            <a:r>
              <a:rPr lang="en-US" sz="1200" b="1" baseline="0"/>
              <a:t> Doctor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PivotTable!$G$17</c:f>
              <c:strCache>
                <c:ptCount val="1"/>
                <c:pt idx="0">
                  <c:v>Total</c:v>
                </c:pt>
              </c:strCache>
            </c:strRef>
          </c:tx>
          <c:spPr>
            <a:solidFill>
              <a:schemeClr val="accent1"/>
            </a:solidFill>
            <a:ln>
              <a:noFill/>
            </a:ln>
            <a:effectLst/>
          </c:spPr>
          <c:invertIfNegative val="0"/>
          <c:cat>
            <c:strRef>
              <c:f>PivotTable!$F$18:$F$24</c:f>
              <c:strCache>
                <c:ptCount val="6"/>
                <c:pt idx="0">
                  <c:v>Dr. Joshi</c:v>
                </c:pt>
                <c:pt idx="1">
                  <c:v>Dr. Kapoor</c:v>
                </c:pt>
                <c:pt idx="2">
                  <c:v>Dr. Mehta</c:v>
                </c:pt>
                <c:pt idx="3">
                  <c:v>Dr. Sharma</c:v>
                </c:pt>
                <c:pt idx="4">
                  <c:v>Dr. Sinha</c:v>
                </c:pt>
                <c:pt idx="5">
                  <c:v>Dr. Verma</c:v>
                </c:pt>
              </c:strCache>
            </c:strRef>
          </c:cat>
          <c:val>
            <c:numRef>
              <c:f>PivotTable!$G$18:$G$24</c:f>
              <c:numCache>
                <c:formatCode>General</c:formatCode>
                <c:ptCount val="6"/>
                <c:pt idx="0">
                  <c:v>5</c:v>
                </c:pt>
                <c:pt idx="1">
                  <c:v>5</c:v>
                </c:pt>
                <c:pt idx="2">
                  <c:v>5</c:v>
                </c:pt>
                <c:pt idx="3">
                  <c:v>7</c:v>
                </c:pt>
                <c:pt idx="4">
                  <c:v>4</c:v>
                </c:pt>
                <c:pt idx="5">
                  <c:v>4</c:v>
                </c:pt>
              </c:numCache>
            </c:numRef>
          </c:val>
          <c:extLst>
            <c:ext xmlns:c16="http://schemas.microsoft.com/office/drawing/2014/chart" uri="{C3380CC4-5D6E-409C-BE32-E72D297353CC}">
              <c16:uniqueId val="{00000000-D4CB-4708-A1C9-A693ECC436D9}"/>
            </c:ext>
          </c:extLst>
        </c:ser>
        <c:dLbls>
          <c:showLegendKey val="0"/>
          <c:showVal val="0"/>
          <c:showCatName val="0"/>
          <c:showSerName val="0"/>
          <c:showPercent val="0"/>
          <c:showBubbleSize val="0"/>
        </c:dLbls>
        <c:gapWidth val="150"/>
        <c:overlap val="100"/>
        <c:axId val="705875840"/>
        <c:axId val="705884000"/>
      </c:barChart>
      <c:catAx>
        <c:axId val="70587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884000"/>
        <c:crosses val="autoZero"/>
        <c:auto val="1"/>
        <c:lblAlgn val="ctr"/>
        <c:lblOffset val="100"/>
        <c:noMultiLvlLbl val="0"/>
      </c:catAx>
      <c:valAx>
        <c:axId val="705884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87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[hospital-excel-dashboard.xlsx]PivotTable!PivotTable13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Admission</a:t>
            </a:r>
            <a:r>
              <a:rPr lang="en-IN" baseline="0"/>
              <a:t> Trends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PivotTable!$L$10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PivotTable!$K$11:$K$41</c:f>
              <c:strCache>
                <c:ptCount val="30"/>
                <c:pt idx="0">
                  <c:v>01-Feb-2025</c:v>
                </c:pt>
                <c:pt idx="1">
                  <c:v>01-Jan-2025</c:v>
                </c:pt>
                <c:pt idx="2">
                  <c:v>02-Feb-2025</c:v>
                </c:pt>
                <c:pt idx="3">
                  <c:v>03-Jan-2025</c:v>
                </c:pt>
                <c:pt idx="4">
                  <c:v>04-Feb-2025</c:v>
                </c:pt>
                <c:pt idx="5">
                  <c:v>05-Feb-2025</c:v>
                </c:pt>
                <c:pt idx="6">
                  <c:v>05-Jan-2025</c:v>
                </c:pt>
                <c:pt idx="7">
                  <c:v>06-Feb-2025</c:v>
                </c:pt>
                <c:pt idx="8">
                  <c:v>06-Jan-2025</c:v>
                </c:pt>
                <c:pt idx="9">
                  <c:v>07-Feb-2025</c:v>
                </c:pt>
                <c:pt idx="10">
                  <c:v>08-Feb-2025</c:v>
                </c:pt>
                <c:pt idx="11">
                  <c:v>08-Jan-2025</c:v>
                </c:pt>
                <c:pt idx="12">
                  <c:v>09-Feb-2025</c:v>
                </c:pt>
                <c:pt idx="13">
                  <c:v>10-Feb-2025</c:v>
                </c:pt>
                <c:pt idx="14">
                  <c:v>10-Jan-2025</c:v>
                </c:pt>
                <c:pt idx="15">
                  <c:v>11-Feb-2025</c:v>
                </c:pt>
                <c:pt idx="16">
                  <c:v>12-Feb-2025</c:v>
                </c:pt>
                <c:pt idx="17">
                  <c:v>12-Jan-2025</c:v>
                </c:pt>
                <c:pt idx="18">
                  <c:v>13-Feb-2025</c:v>
                </c:pt>
                <c:pt idx="19">
                  <c:v>13-Jan-2025</c:v>
                </c:pt>
                <c:pt idx="20">
                  <c:v>14-Feb-2025</c:v>
                </c:pt>
                <c:pt idx="21">
                  <c:v>15-Jan-2025</c:v>
                </c:pt>
                <c:pt idx="22">
                  <c:v>17-Jan-2025</c:v>
                </c:pt>
                <c:pt idx="23">
                  <c:v>20-Jan-2025</c:v>
                </c:pt>
                <c:pt idx="24">
                  <c:v>21-Jan-2025</c:v>
                </c:pt>
                <c:pt idx="25">
                  <c:v>23-Jan-2025</c:v>
                </c:pt>
                <c:pt idx="26">
                  <c:v>25-Jan-2025</c:v>
                </c:pt>
                <c:pt idx="27">
                  <c:v>27-Jan-2025</c:v>
                </c:pt>
                <c:pt idx="28">
                  <c:v>29-Jan-2025</c:v>
                </c:pt>
                <c:pt idx="29">
                  <c:v>30-Jan-2025</c:v>
                </c:pt>
              </c:strCache>
            </c:strRef>
          </c:cat>
          <c:val>
            <c:numRef>
              <c:f>PivotTable!$L$11:$L$41</c:f>
              <c:numCache>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val>
          <c:smooth val="0"/>
          <c:extLst>
            <c:ext xmlns:c16="http://schemas.microsoft.com/office/drawing/2014/chart" uri="{C3380CC4-5D6E-409C-BE32-E72D297353CC}">
              <c16:uniqueId val="{00000000-48B2-46F3-8A18-EFC61F9710EF}"/>
            </c:ext>
          </c:extLst>
        </c:ser>
        <c:dLbls>
          <c:showLegendKey val="0"/>
          <c:showVal val="0"/>
          <c:showCatName val="0"/>
          <c:showSerName val="0"/>
          <c:showPercent val="0"/>
          <c:showBubbleSize val="0"/>
        </c:dLbls>
        <c:marker val="1"/>
        <c:smooth val="0"/>
        <c:axId val="336064624"/>
        <c:axId val="336055504"/>
      </c:lineChart>
      <c:catAx>
        <c:axId val="33606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55504"/>
        <c:crosses val="autoZero"/>
        <c:auto val="1"/>
        <c:lblAlgn val="ctr"/>
        <c:lblOffset val="100"/>
        <c:noMultiLvlLbl val="0"/>
      </c:catAx>
      <c:valAx>
        <c:axId val="33605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6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[hospital-excel-dashboard.xlsx]PivotTable!PivotTable14</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Common</a:t>
            </a:r>
            <a:r>
              <a:rPr lang="en-US" baseline="0"/>
              <a:t> Diagnoses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PivotTable!$N$10</c:f>
              <c:strCache>
                <c:ptCount val="1"/>
                <c:pt idx="0">
                  <c:v>Total</c:v>
                </c:pt>
              </c:strCache>
            </c:strRef>
          </c:tx>
          <c:spPr>
            <a:solidFill>
              <a:schemeClr val="accent1"/>
            </a:solidFill>
            <a:ln>
              <a:noFill/>
            </a:ln>
            <a:effectLst/>
          </c:spPr>
          <c:cat>
            <c:strRef>
              <c:f>PivotTable!$M$11:$M$38</c:f>
              <c:strCache>
                <c:ptCount val="27"/>
                <c:pt idx="0">
                  <c:v>Acne</c:v>
                </c:pt>
                <c:pt idx="1">
                  <c:v>Angina</c:v>
                </c:pt>
                <c:pt idx="2">
                  <c:v>Arthritis</c:v>
                </c:pt>
                <c:pt idx="3">
                  <c:v>Asthma</c:v>
                </c:pt>
                <c:pt idx="4">
                  <c:v>Back Pain</c:v>
                </c:pt>
                <c:pt idx="5">
                  <c:v>Bypass Surgery</c:v>
                </c:pt>
                <c:pt idx="6">
                  <c:v>Epilepsy</c:v>
                </c:pt>
                <c:pt idx="7">
                  <c:v>Fever</c:v>
                </c:pt>
                <c:pt idx="8">
                  <c:v>Fibroids</c:v>
                </c:pt>
                <c:pt idx="9">
                  <c:v>Fracture</c:v>
                </c:pt>
                <c:pt idx="10">
                  <c:v>Heart Attack</c:v>
                </c:pt>
                <c:pt idx="11">
                  <c:v>Heart Blockage</c:v>
                </c:pt>
                <c:pt idx="12">
                  <c:v>Heart Disease</c:v>
                </c:pt>
                <c:pt idx="13">
                  <c:v>Hypertension</c:v>
                </c:pt>
                <c:pt idx="14">
                  <c:v>Infertility</c:v>
                </c:pt>
                <c:pt idx="15">
                  <c:v>Joint Pain</c:v>
                </c:pt>
                <c:pt idx="16">
                  <c:v>Migraine</c:v>
                </c:pt>
                <c:pt idx="17">
                  <c:v>Pacemaker</c:v>
                </c:pt>
                <c:pt idx="18">
                  <c:v>Paralysis</c:v>
                </c:pt>
                <c:pt idx="19">
                  <c:v>PCOS</c:v>
                </c:pt>
                <c:pt idx="20">
                  <c:v>Pneumonia</c:v>
                </c:pt>
                <c:pt idx="21">
                  <c:v>Pregnancy Care</c:v>
                </c:pt>
                <c:pt idx="22">
                  <c:v>Psoriasis</c:v>
                </c:pt>
                <c:pt idx="23">
                  <c:v>Skin Allergy</c:v>
                </c:pt>
                <c:pt idx="24">
                  <c:v>Skin Burn</c:v>
                </c:pt>
                <c:pt idx="25">
                  <c:v>Skin Infection</c:v>
                </c:pt>
                <c:pt idx="26">
                  <c:v>Viral Fever</c:v>
                </c:pt>
              </c:strCache>
            </c:strRef>
          </c:cat>
          <c:val>
            <c:numRef>
              <c:f>PivotTable!$N$11:$N$38</c:f>
              <c:numCache>
                <c:formatCode>General</c:formatCode>
                <c:ptCount val="27"/>
                <c:pt idx="0">
                  <c:v>1</c:v>
                </c:pt>
                <c:pt idx="1">
                  <c:v>1</c:v>
                </c:pt>
                <c:pt idx="2">
                  <c:v>1</c:v>
                </c:pt>
                <c:pt idx="3">
                  <c:v>1</c:v>
                </c:pt>
                <c:pt idx="4">
                  <c:v>1</c:v>
                </c:pt>
                <c:pt idx="5">
                  <c:v>1</c:v>
                </c:pt>
                <c:pt idx="6">
                  <c:v>1</c:v>
                </c:pt>
                <c:pt idx="7">
                  <c:v>1</c:v>
                </c:pt>
                <c:pt idx="8">
                  <c:v>1</c:v>
                </c:pt>
                <c:pt idx="9">
                  <c:v>2</c:v>
                </c:pt>
                <c:pt idx="10">
                  <c:v>1</c:v>
                </c:pt>
                <c:pt idx="11">
                  <c:v>1</c:v>
                </c:pt>
                <c:pt idx="12">
                  <c:v>1</c:v>
                </c:pt>
                <c:pt idx="13">
                  <c:v>1</c:v>
                </c:pt>
                <c:pt idx="14">
                  <c:v>1</c:v>
                </c:pt>
                <c:pt idx="15">
                  <c:v>1</c:v>
                </c:pt>
                <c:pt idx="16">
                  <c:v>3</c:v>
                </c:pt>
                <c:pt idx="17">
                  <c:v>1</c:v>
                </c:pt>
                <c:pt idx="18">
                  <c:v>1</c:v>
                </c:pt>
                <c:pt idx="19">
                  <c:v>1</c:v>
                </c:pt>
                <c:pt idx="20">
                  <c:v>1</c:v>
                </c:pt>
                <c:pt idx="21">
                  <c:v>1</c:v>
                </c:pt>
                <c:pt idx="22">
                  <c:v>1</c:v>
                </c:pt>
                <c:pt idx="23">
                  <c:v>1</c:v>
                </c:pt>
                <c:pt idx="24">
                  <c:v>1</c:v>
                </c:pt>
                <c:pt idx="25">
                  <c:v>1</c:v>
                </c:pt>
                <c:pt idx="26">
                  <c:v>1</c:v>
                </c:pt>
              </c:numCache>
            </c:numRef>
          </c:val>
          <c:extLst>
            <c:ext xmlns:c16="http://schemas.microsoft.com/office/drawing/2014/chart" uri="{C3380CC4-5D6E-409C-BE32-E72D297353CC}">
              <c16:uniqueId val="{00000000-76EA-49E8-88EC-45425EF47D96}"/>
            </c:ext>
          </c:extLst>
        </c:ser>
        <c:dLbls>
          <c:showLegendKey val="0"/>
          <c:showVal val="0"/>
          <c:showCatName val="0"/>
          <c:showSerName val="0"/>
          <c:showPercent val="0"/>
          <c:showBubbleSize val="0"/>
        </c:dLbls>
        <c:axId val="336071824"/>
        <c:axId val="336069904"/>
      </c:areaChart>
      <c:catAx>
        <c:axId val="336071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69904"/>
        <c:crosses val="autoZero"/>
        <c:auto val="1"/>
        <c:lblAlgn val="ctr"/>
        <c:lblOffset val="100"/>
        <c:noMultiLvlLbl val="0"/>
      </c:catAx>
      <c:valAx>
        <c:axId val="33606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71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[hospital-excel-dashboard.xlsx]PivotTable!PivotTable9</c:name>
    <c:fmtId val="2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200"/>
              <a:t>Patient</a:t>
            </a:r>
            <a:r>
              <a:rPr lang="en-IN" sz="1200" baseline="0"/>
              <a:t> by Department</a:t>
            </a:r>
            <a:endParaRPr lang="en-IN" sz="1200"/>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PivotTable!$A$12:$A$18</c:f>
              <c:strCache>
                <c:ptCount val="6"/>
                <c:pt idx="0">
                  <c:v>Cardiology</c:v>
                </c:pt>
                <c:pt idx="1">
                  <c:v>Dermatology</c:v>
                </c:pt>
                <c:pt idx="2">
                  <c:v>Gynecology</c:v>
                </c:pt>
                <c:pt idx="3">
                  <c:v>Neurology</c:v>
                </c:pt>
                <c:pt idx="4">
                  <c:v>Orthopedics</c:v>
                </c:pt>
                <c:pt idx="5">
                  <c:v>Pediatrics</c:v>
                </c:pt>
              </c:strCache>
            </c:strRef>
          </c:cat>
          <c:val>
            <c:numRef>
              <c:f>PivotTable!$B$12:$B$18</c:f>
              <c:numCache>
                <c:formatCode>General</c:formatCode>
                <c:ptCount val="6"/>
                <c:pt idx="0">
                  <c:v>7</c:v>
                </c:pt>
                <c:pt idx="1">
                  <c:v>5</c:v>
                </c:pt>
                <c:pt idx="2">
                  <c:v>4</c:v>
                </c:pt>
                <c:pt idx="3">
                  <c:v>5</c:v>
                </c:pt>
                <c:pt idx="4">
                  <c:v>5</c:v>
                </c:pt>
                <c:pt idx="5">
                  <c:v>4</c:v>
                </c:pt>
              </c:numCache>
            </c:numRef>
          </c:val>
          <c:extLst>
            <c:ext xmlns:c16="http://schemas.microsoft.com/office/drawing/2014/chart" uri="{C3380CC4-5D6E-409C-BE32-E72D297353CC}">
              <c16:uniqueId val="{00000000-878C-42A6-B01E-EAA5077CFE99}"/>
            </c:ext>
          </c:extLst>
        </c:ser>
        <c:dLbls>
          <c:showLegendKey val="0"/>
          <c:showVal val="0"/>
          <c:showCatName val="0"/>
          <c:showSerName val="0"/>
          <c:showPercent val="0"/>
          <c:showBubbleSize val="0"/>
        </c:dLbls>
        <c:gapWidth val="355"/>
        <c:overlap val="-70"/>
        <c:axId val="554814800"/>
        <c:axId val="554815280"/>
      </c:barChart>
      <c:catAx>
        <c:axId val="55481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15280"/>
        <c:crosses val="autoZero"/>
        <c:auto val="1"/>
        <c:lblAlgn val="ctr"/>
        <c:lblOffset val="100"/>
        <c:noMultiLvlLbl val="0"/>
      </c:catAx>
      <c:valAx>
        <c:axId val="55481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1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[hospital-excel-dashboard.xlsx]PivotTable!PivotTable10</c:name>
    <c:fmtId val="1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 By Department</a:t>
            </a:r>
          </a:p>
        </c:rich>
      </c:tx>
      <c:layout>
        <c:manualLayout>
          <c:xMode val="edge"/>
          <c:yMode val="edge"/>
          <c:x val="0.19277430144336336"/>
          <c:y val="0.14605469422642314"/>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77729720560212"/>
          <c:y val="0.31905188465872542"/>
          <c:w val="0.4392964042571238"/>
          <c:h val="0.6016306912928383"/>
        </c:manualLayout>
      </c:layout>
      <c:barChart>
        <c:barDir val="bar"/>
        <c:grouping val="stacked"/>
        <c:varyColors val="0"/>
        <c:ser>
          <c:idx val="0"/>
          <c:order val="0"/>
          <c:tx>
            <c:strRef>
              <c:f>PivotTable!$B$20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PivotTable!$A$21:$A$27</c:f>
              <c:strCache>
                <c:ptCount val="6"/>
                <c:pt idx="0">
                  <c:v>Cardiology</c:v>
                </c:pt>
                <c:pt idx="1">
                  <c:v>Dermatology</c:v>
                </c:pt>
                <c:pt idx="2">
                  <c:v>Gynecology</c:v>
                </c:pt>
                <c:pt idx="3">
                  <c:v>Neurology</c:v>
                </c:pt>
                <c:pt idx="4">
                  <c:v>Orthopedics</c:v>
                </c:pt>
                <c:pt idx="5">
                  <c:v>Pediatrics</c:v>
                </c:pt>
              </c:strCache>
            </c:strRef>
          </c:cat>
          <c:val>
            <c:numRef>
              <c:f>PivotTable!$B$21:$B$27</c:f>
              <c:numCache>
                <c:formatCode>General</c:formatCode>
                <c:ptCount val="6"/>
                <c:pt idx="0">
                  <c:v>446000</c:v>
                </c:pt>
                <c:pt idx="1">
                  <c:v>71000</c:v>
                </c:pt>
                <c:pt idx="2">
                  <c:v>148000</c:v>
                </c:pt>
                <c:pt idx="3">
                  <c:v>162000</c:v>
                </c:pt>
                <c:pt idx="4">
                  <c:v>147000</c:v>
                </c:pt>
                <c:pt idx="5">
                  <c:v>43000</c:v>
                </c:pt>
              </c:numCache>
            </c:numRef>
          </c:val>
          <c:extLst>
            <c:ext xmlns:c16="http://schemas.microsoft.com/office/drawing/2014/chart" uri="{C3380CC4-5D6E-409C-BE32-E72D297353CC}">
              <c16:uniqueId val="{00000000-3C59-44DD-8724-0EE9E72258E1}"/>
            </c:ext>
          </c:extLst>
        </c:ser>
        <c:dLbls>
          <c:dLblPos val="ctr"/>
          <c:showLegendKey val="0"/>
          <c:showVal val="1"/>
          <c:showCatName val="0"/>
          <c:showSerName val="0"/>
          <c:showPercent val="0"/>
          <c:showBubbleSize val="0"/>
        </c:dLbls>
        <c:gapWidth val="79"/>
        <c:overlap val="100"/>
        <c:axId val="1001491296"/>
        <c:axId val="1001491776"/>
      </c:barChart>
      <c:catAx>
        <c:axId val="100149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01491776"/>
        <c:crosses val="autoZero"/>
        <c:auto val="1"/>
        <c:lblAlgn val="ctr"/>
        <c:lblOffset val="100"/>
        <c:noMultiLvlLbl val="0"/>
      </c:catAx>
      <c:valAx>
        <c:axId val="1001491776"/>
        <c:scaling>
          <c:orientation val="minMax"/>
        </c:scaling>
        <c:delete val="1"/>
        <c:axPos val="b"/>
        <c:numFmt formatCode="General" sourceLinked="1"/>
        <c:majorTickMark val="none"/>
        <c:minorTickMark val="none"/>
        <c:tickLblPos val="nextTo"/>
        <c:crossAx val="100149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[hospital-excel-dashboard.xlsx]PivotTable!PivotTable11</c:name>
    <c:fmtId val="9"/>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IN" sz="1200"/>
              <a:t>Payment</a:t>
            </a:r>
            <a:r>
              <a:rPr lang="en-IN" sz="1200" baseline="0"/>
              <a:t> Status Distribution</a:t>
            </a:r>
            <a:endParaRPr lang="en-IN" sz="1200"/>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PivotTable!$G$11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BD-4A37-A9A0-8D8B6F65CAF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BD-4A37-A9A0-8D8B6F65CAF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PivotTable!$F$12:$F$14</c:f>
              <c:strCache>
                <c:ptCount val="2"/>
                <c:pt idx="0">
                  <c:v>Paid</c:v>
                </c:pt>
                <c:pt idx="1">
                  <c:v>Pending</c:v>
                </c:pt>
              </c:strCache>
            </c:strRef>
          </c:cat>
          <c:val>
            <c:numRef>
              <c:f>PivotTable!$G$12:$G$14</c:f>
              <c:numCache>
                <c:formatCode>General</c:formatCode>
                <c:ptCount val="2"/>
                <c:pt idx="0">
                  <c:v>20</c:v>
                </c:pt>
                <c:pt idx="1">
                  <c:v>10</c:v>
                </c:pt>
              </c:numCache>
            </c:numRef>
          </c:val>
          <c:extLst>
            <c:ext xmlns:c16="http://schemas.microsoft.com/office/drawing/2014/chart" uri="{C3380CC4-5D6E-409C-BE32-E72D297353CC}">
              <c16:uniqueId val="{00000004-26BD-4A37-A9A0-8D8B6F65CAF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 Patients per</a:t>
            </a:r>
            <a:r>
              <a:rPr lang="en-US" sz="1200" b="1" baseline="0"/>
              <a:t> Doctor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PivotTable!$G$17</c:f>
              <c:strCache>
                <c:ptCount val="1"/>
                <c:pt idx="0">
                  <c:v>Total</c:v>
                </c:pt>
              </c:strCache>
            </c:strRef>
          </c:tx>
          <c:spPr>
            <a:solidFill>
              <a:schemeClr val="accent1"/>
            </a:solidFill>
            <a:ln>
              <a:noFill/>
            </a:ln>
            <a:effectLst/>
          </c:spPr>
          <c:invertIfNegative val="0"/>
          <c:cat>
            <c:strRef>
              <c:f>PivotTable!$F$18:$F$24</c:f>
              <c:strCache>
                <c:ptCount val="6"/>
                <c:pt idx="0">
                  <c:v>Dr. Joshi</c:v>
                </c:pt>
                <c:pt idx="1">
                  <c:v>Dr. Kapoor</c:v>
                </c:pt>
                <c:pt idx="2">
                  <c:v>Dr. Mehta</c:v>
                </c:pt>
                <c:pt idx="3">
                  <c:v>Dr. Sharma</c:v>
                </c:pt>
                <c:pt idx="4">
                  <c:v>Dr. Sinha</c:v>
                </c:pt>
                <c:pt idx="5">
                  <c:v>Dr. Verma</c:v>
                </c:pt>
              </c:strCache>
            </c:strRef>
          </c:cat>
          <c:val>
            <c:numRef>
              <c:f>PivotTable!$G$18:$G$24</c:f>
              <c:numCache>
                <c:formatCode>General</c:formatCode>
                <c:ptCount val="6"/>
                <c:pt idx="0">
                  <c:v>5</c:v>
                </c:pt>
                <c:pt idx="1">
                  <c:v>5</c:v>
                </c:pt>
                <c:pt idx="2">
                  <c:v>5</c:v>
                </c:pt>
                <c:pt idx="3">
                  <c:v>7</c:v>
                </c:pt>
                <c:pt idx="4">
                  <c:v>4</c:v>
                </c:pt>
                <c:pt idx="5">
                  <c:v>4</c:v>
                </c:pt>
              </c:numCache>
            </c:numRef>
          </c:val>
          <c:extLst>
            <c:ext xmlns:c16="http://schemas.microsoft.com/office/drawing/2014/chart" uri="{C3380CC4-5D6E-409C-BE32-E72D297353CC}">
              <c16:uniqueId val="{00000000-43ED-4D48-A6E8-A5FA39B1C466}"/>
            </c:ext>
          </c:extLst>
        </c:ser>
        <c:dLbls>
          <c:showLegendKey val="0"/>
          <c:showVal val="0"/>
          <c:showCatName val="0"/>
          <c:showSerName val="0"/>
          <c:showPercent val="0"/>
          <c:showBubbleSize val="0"/>
        </c:dLbls>
        <c:gapWidth val="150"/>
        <c:overlap val="100"/>
        <c:axId val="705875840"/>
        <c:axId val="705884000"/>
      </c:barChart>
      <c:catAx>
        <c:axId val="70587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884000"/>
        <c:crosses val="autoZero"/>
        <c:auto val="1"/>
        <c:lblAlgn val="ctr"/>
        <c:lblOffset val="100"/>
        <c:noMultiLvlLbl val="0"/>
      </c:catAx>
      <c:valAx>
        <c:axId val="705884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87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[hospital-excel-dashboard.xlsx]PivotTable!PivotTable13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a:t>
            </a:r>
            <a:r>
              <a:rPr lang="en-US" baseline="0"/>
              <a: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PivotTable!$L$10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PivotTable!$K$11:$K$41</c:f>
              <c:strCache>
                <c:ptCount val="30"/>
                <c:pt idx="0">
                  <c:v>01-Feb-2025</c:v>
                </c:pt>
                <c:pt idx="1">
                  <c:v>01-Jan-2025</c:v>
                </c:pt>
                <c:pt idx="2">
                  <c:v>02-Feb-2025</c:v>
                </c:pt>
                <c:pt idx="3">
                  <c:v>03-Jan-2025</c:v>
                </c:pt>
                <c:pt idx="4">
                  <c:v>04-Feb-2025</c:v>
                </c:pt>
                <c:pt idx="5">
                  <c:v>05-Feb-2025</c:v>
                </c:pt>
                <c:pt idx="6">
                  <c:v>05-Jan-2025</c:v>
                </c:pt>
                <c:pt idx="7">
                  <c:v>06-Feb-2025</c:v>
                </c:pt>
                <c:pt idx="8">
                  <c:v>06-Jan-2025</c:v>
                </c:pt>
                <c:pt idx="9">
                  <c:v>07-Feb-2025</c:v>
                </c:pt>
                <c:pt idx="10">
                  <c:v>08-Feb-2025</c:v>
                </c:pt>
                <c:pt idx="11">
                  <c:v>08-Jan-2025</c:v>
                </c:pt>
                <c:pt idx="12">
                  <c:v>09-Feb-2025</c:v>
                </c:pt>
                <c:pt idx="13">
                  <c:v>10-Feb-2025</c:v>
                </c:pt>
                <c:pt idx="14">
                  <c:v>10-Jan-2025</c:v>
                </c:pt>
                <c:pt idx="15">
                  <c:v>11-Feb-2025</c:v>
                </c:pt>
                <c:pt idx="16">
                  <c:v>12-Feb-2025</c:v>
                </c:pt>
                <c:pt idx="17">
                  <c:v>12-Jan-2025</c:v>
                </c:pt>
                <c:pt idx="18">
                  <c:v>13-Feb-2025</c:v>
                </c:pt>
                <c:pt idx="19">
                  <c:v>13-Jan-2025</c:v>
                </c:pt>
                <c:pt idx="20">
                  <c:v>14-Feb-2025</c:v>
                </c:pt>
                <c:pt idx="21">
                  <c:v>15-Jan-2025</c:v>
                </c:pt>
                <c:pt idx="22">
                  <c:v>17-Jan-2025</c:v>
                </c:pt>
                <c:pt idx="23">
                  <c:v>20-Jan-2025</c:v>
                </c:pt>
                <c:pt idx="24">
                  <c:v>21-Jan-2025</c:v>
                </c:pt>
                <c:pt idx="25">
                  <c:v>23-Jan-2025</c:v>
                </c:pt>
                <c:pt idx="26">
                  <c:v>25-Jan-2025</c:v>
                </c:pt>
                <c:pt idx="27">
                  <c:v>27-Jan-2025</c:v>
                </c:pt>
                <c:pt idx="28">
                  <c:v>29-Jan-2025</c:v>
                </c:pt>
                <c:pt idx="29">
                  <c:v>30-Jan-2025</c:v>
                </c:pt>
              </c:strCache>
            </c:strRef>
          </c:cat>
          <c:val>
            <c:numRef>
              <c:f>PivotTable!$L$11:$L$41</c:f>
              <c:numCache>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val>
          <c:smooth val="0"/>
          <c:extLst>
            <c:ext xmlns:c16="http://schemas.microsoft.com/office/drawing/2014/chart" uri="{C3380CC4-5D6E-409C-BE32-E72D297353CC}">
              <c16:uniqueId val="{00000000-D61B-4864-B276-CEDCFF2D157F}"/>
            </c:ext>
          </c:extLst>
        </c:ser>
        <c:dLbls>
          <c:showLegendKey val="0"/>
          <c:showVal val="0"/>
          <c:showCatName val="0"/>
          <c:showSerName val="0"/>
          <c:showPercent val="0"/>
          <c:showBubbleSize val="0"/>
        </c:dLbls>
        <c:marker val="1"/>
        <c:smooth val="0"/>
        <c:axId val="336074704"/>
        <c:axId val="336075664"/>
      </c:lineChart>
      <c:catAx>
        <c:axId val="33607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75664"/>
        <c:crosses val="autoZero"/>
        <c:auto val="1"/>
        <c:lblAlgn val="ctr"/>
        <c:lblOffset val="100"/>
        <c:noMultiLvlLbl val="0"/>
      </c:catAx>
      <c:valAx>
        <c:axId val="336075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747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[hospital-excel-dashboard.xlsx]PivotTable!PivotTable14</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Common</a:t>
            </a:r>
            <a:r>
              <a:rPr lang="en-US" baseline="0"/>
              <a:t> Diagnoses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PivotTable!$N$10</c:f>
              <c:strCache>
                <c:ptCount val="1"/>
                <c:pt idx="0">
                  <c:v>Total</c:v>
                </c:pt>
              </c:strCache>
            </c:strRef>
          </c:tx>
          <c:spPr>
            <a:solidFill>
              <a:schemeClr val="accent1"/>
            </a:solidFill>
            <a:ln>
              <a:noFill/>
            </a:ln>
            <a:effectLst/>
          </c:spPr>
          <c:cat>
            <c:strRef>
              <c:f>PivotTable!$M$11:$M$38</c:f>
              <c:strCache>
                <c:ptCount val="27"/>
                <c:pt idx="0">
                  <c:v>Acne</c:v>
                </c:pt>
                <c:pt idx="1">
                  <c:v>Angina</c:v>
                </c:pt>
                <c:pt idx="2">
                  <c:v>Arthritis</c:v>
                </c:pt>
                <c:pt idx="3">
                  <c:v>Asthma</c:v>
                </c:pt>
                <c:pt idx="4">
                  <c:v>Back Pain</c:v>
                </c:pt>
                <c:pt idx="5">
                  <c:v>Bypass Surgery</c:v>
                </c:pt>
                <c:pt idx="6">
                  <c:v>Epilepsy</c:v>
                </c:pt>
                <c:pt idx="7">
                  <c:v>Fever</c:v>
                </c:pt>
                <c:pt idx="8">
                  <c:v>Fibroids</c:v>
                </c:pt>
                <c:pt idx="9">
                  <c:v>Fracture</c:v>
                </c:pt>
                <c:pt idx="10">
                  <c:v>Heart Attack</c:v>
                </c:pt>
                <c:pt idx="11">
                  <c:v>Heart Blockage</c:v>
                </c:pt>
                <c:pt idx="12">
                  <c:v>Heart Disease</c:v>
                </c:pt>
                <c:pt idx="13">
                  <c:v>Hypertension</c:v>
                </c:pt>
                <c:pt idx="14">
                  <c:v>Infertility</c:v>
                </c:pt>
                <c:pt idx="15">
                  <c:v>Joint Pain</c:v>
                </c:pt>
                <c:pt idx="16">
                  <c:v>Migraine</c:v>
                </c:pt>
                <c:pt idx="17">
                  <c:v>Pacemaker</c:v>
                </c:pt>
                <c:pt idx="18">
                  <c:v>Paralysis</c:v>
                </c:pt>
                <c:pt idx="19">
                  <c:v>PCOS</c:v>
                </c:pt>
                <c:pt idx="20">
                  <c:v>Pneumonia</c:v>
                </c:pt>
                <c:pt idx="21">
                  <c:v>Pregnancy Care</c:v>
                </c:pt>
                <c:pt idx="22">
                  <c:v>Psoriasis</c:v>
                </c:pt>
                <c:pt idx="23">
                  <c:v>Skin Allergy</c:v>
                </c:pt>
                <c:pt idx="24">
                  <c:v>Skin Burn</c:v>
                </c:pt>
                <c:pt idx="25">
                  <c:v>Skin Infection</c:v>
                </c:pt>
                <c:pt idx="26">
                  <c:v>Viral Fever</c:v>
                </c:pt>
              </c:strCache>
            </c:strRef>
          </c:cat>
          <c:val>
            <c:numRef>
              <c:f>PivotTable!$N$11:$N$38</c:f>
              <c:numCache>
                <c:formatCode>General</c:formatCode>
                <c:ptCount val="27"/>
                <c:pt idx="0">
                  <c:v>1</c:v>
                </c:pt>
                <c:pt idx="1">
                  <c:v>1</c:v>
                </c:pt>
                <c:pt idx="2">
                  <c:v>1</c:v>
                </c:pt>
                <c:pt idx="3">
                  <c:v>1</c:v>
                </c:pt>
                <c:pt idx="4">
                  <c:v>1</c:v>
                </c:pt>
                <c:pt idx="5">
                  <c:v>1</c:v>
                </c:pt>
                <c:pt idx="6">
                  <c:v>1</c:v>
                </c:pt>
                <c:pt idx="7">
                  <c:v>1</c:v>
                </c:pt>
                <c:pt idx="8">
                  <c:v>1</c:v>
                </c:pt>
                <c:pt idx="9">
                  <c:v>2</c:v>
                </c:pt>
                <c:pt idx="10">
                  <c:v>1</c:v>
                </c:pt>
                <c:pt idx="11">
                  <c:v>1</c:v>
                </c:pt>
                <c:pt idx="12">
                  <c:v>1</c:v>
                </c:pt>
                <c:pt idx="13">
                  <c:v>1</c:v>
                </c:pt>
                <c:pt idx="14">
                  <c:v>1</c:v>
                </c:pt>
                <c:pt idx="15">
                  <c:v>1</c:v>
                </c:pt>
                <c:pt idx="16">
                  <c:v>3</c:v>
                </c:pt>
                <c:pt idx="17">
                  <c:v>1</c:v>
                </c:pt>
                <c:pt idx="18">
                  <c:v>1</c:v>
                </c:pt>
                <c:pt idx="19">
                  <c:v>1</c:v>
                </c:pt>
                <c:pt idx="20">
                  <c:v>1</c:v>
                </c:pt>
                <c:pt idx="21">
                  <c:v>1</c:v>
                </c:pt>
                <c:pt idx="22">
                  <c:v>1</c:v>
                </c:pt>
                <c:pt idx="23">
                  <c:v>1</c:v>
                </c:pt>
                <c:pt idx="24">
                  <c:v>1</c:v>
                </c:pt>
                <c:pt idx="25">
                  <c:v>1</c:v>
                </c:pt>
                <c:pt idx="26">
                  <c:v>1</c:v>
                </c:pt>
              </c:numCache>
            </c:numRef>
          </c:val>
          <c:extLst>
            <c:ext xmlns:c16="http://schemas.microsoft.com/office/drawing/2014/chart" uri="{C3380CC4-5D6E-409C-BE32-E72D297353CC}">
              <c16:uniqueId val="{00000000-481C-42F1-B6E0-C37C112338E4}"/>
            </c:ext>
          </c:extLst>
        </c:ser>
        <c:dLbls>
          <c:showLegendKey val="0"/>
          <c:showVal val="0"/>
          <c:showCatName val="0"/>
          <c:showSerName val="0"/>
          <c:showPercent val="0"/>
          <c:showBubbleSize val="0"/>
        </c:dLbls>
        <c:axId val="336071824"/>
        <c:axId val="336069904"/>
      </c:areaChart>
      <c:catAx>
        <c:axId val="336071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69904"/>
        <c:crosses val="autoZero"/>
        <c:auto val="1"/>
        <c:lblAlgn val="ctr"/>
        <c:lblOffset val="100"/>
        <c:noMultiLvlLbl val="0"/>
      </c:catAx>
      <c:valAx>
        <c:axId val="33606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71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6.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5.svg"/><Relationship Id="rId2" Type="http://schemas.openxmlformats.org/officeDocument/2006/relationships/chart" Target="../charts/chart8.xml"/><Relationship Id="rId16" Type="http://schemas.openxmlformats.org/officeDocument/2006/relationships/image" Target="../media/image9.sv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4.png"/><Relationship Id="rId5" Type="http://schemas.openxmlformats.org/officeDocument/2006/relationships/chart" Target="../charts/chart11.xml"/><Relationship Id="rId15" Type="http://schemas.openxmlformats.org/officeDocument/2006/relationships/image" Target="../media/image8.png"/><Relationship Id="rId10" Type="http://schemas.openxmlformats.org/officeDocument/2006/relationships/image" Target="../media/image3.svg"/><Relationship Id="rId4" Type="http://schemas.openxmlformats.org/officeDocument/2006/relationships/chart" Target="../charts/chart10.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2</xdr:col>
      <xdr:colOff>137160</xdr:colOff>
      <xdr:row>10</xdr:row>
      <xdr:rowOff>30480</xdr:rowOff>
    </xdr:from>
    <xdr:to>
      <xdr:col>4</xdr:col>
      <xdr:colOff>320040</xdr:colOff>
      <xdr:row>19</xdr:row>
      <xdr:rowOff>30480</xdr:rowOff>
    </xdr:to>
    <xdr:graphicFrame macro="">
      <xdr:nvGraphicFramePr>
        <xdr:cNvPr id="2" name="Chart 1">
          <a:extLst>
            <a:ext uri="{FF2B5EF4-FFF2-40B4-BE49-F238E27FC236}">
              <a16:creationId xmlns:a16="http://schemas.microsoft.com/office/drawing/2014/main" id="{D15C29C2-1A9E-E039-CA17-4E1E745B6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1333500</xdr:colOff>
      <xdr:row>19</xdr:row>
      <xdr:rowOff>15240</xdr:rowOff>
    </xdr:from>
    <xdr:to>
      <xdr:col>4</xdr:col>
      <xdr:colOff>586740</xdr:colOff>
      <xdr:row>26</xdr:row>
      <xdr:rowOff>167640</xdr:rowOff>
    </xdr:to>
    <xdr:graphicFrame macro="">
      <xdr:nvGraphicFramePr>
        <xdr:cNvPr id="3" name="Chart 2">
          <a:extLst>
            <a:ext uri="{FF2B5EF4-FFF2-40B4-BE49-F238E27FC236}">
              <a16:creationId xmlns:a16="http://schemas.microsoft.com/office/drawing/2014/main" id="{1D41699D-5BA5-8598-834F-357093877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358140</xdr:colOff>
      <xdr:row>8</xdr:row>
      <xdr:rowOff>160020</xdr:rowOff>
    </xdr:from>
    <xdr:to>
      <xdr:col>9</xdr:col>
      <xdr:colOff>312420</xdr:colOff>
      <xdr:row>16</xdr:row>
      <xdr:rowOff>68580</xdr:rowOff>
    </xdr:to>
    <xdr:graphicFrame macro="">
      <xdr:nvGraphicFramePr>
        <xdr:cNvPr id="4" name="Chart 3">
          <a:extLst>
            <a:ext uri="{FF2B5EF4-FFF2-40B4-BE49-F238E27FC236}">
              <a16:creationId xmlns:a16="http://schemas.microsoft.com/office/drawing/2014/main" id="{C795F46A-AA7C-435E-DA85-719E49F68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167640</xdr:colOff>
      <xdr:row>16</xdr:row>
      <xdr:rowOff>129540</xdr:rowOff>
    </xdr:from>
    <xdr:to>
      <xdr:col>9</xdr:col>
      <xdr:colOff>60960</xdr:colOff>
      <xdr:row>24</xdr:row>
      <xdr:rowOff>137160</xdr:rowOff>
    </xdr:to>
    <xdr:graphicFrame macro="">
      <xdr:nvGraphicFramePr>
        <xdr:cNvPr id="5" name="Chart 4">
          <a:extLst>
            <a:ext uri="{FF2B5EF4-FFF2-40B4-BE49-F238E27FC236}">
              <a16:creationId xmlns:a16="http://schemas.microsoft.com/office/drawing/2014/main" id="{3AD47A84-9AB7-FFF0-C76D-FC3461C28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91440</xdr:colOff>
      <xdr:row>16</xdr:row>
      <xdr:rowOff>121920</xdr:rowOff>
    </xdr:from>
    <xdr:to>
      <xdr:col>15</xdr:col>
      <xdr:colOff>396240</xdr:colOff>
      <xdr:row>29</xdr:row>
      <xdr:rowOff>7620</xdr:rowOff>
    </xdr:to>
    <xdr:graphicFrame macro="">
      <xdr:nvGraphicFramePr>
        <xdr:cNvPr id="8" name="Chart 7">
          <a:extLst>
            <a:ext uri="{FF2B5EF4-FFF2-40B4-BE49-F238E27FC236}">
              <a16:creationId xmlns:a16="http://schemas.microsoft.com/office/drawing/2014/main" id="{B9C7F9FA-675C-9091-5CD6-FAC838AA1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266700</xdr:colOff>
      <xdr:row>3</xdr:row>
      <xdr:rowOff>106680</xdr:rowOff>
    </xdr:from>
    <xdr:to>
      <xdr:col>17</xdr:col>
      <xdr:colOff>419100</xdr:colOff>
      <xdr:row>13</xdr:row>
      <xdr:rowOff>152400</xdr:rowOff>
    </xdr:to>
    <xdr:graphicFrame macro="">
      <xdr:nvGraphicFramePr>
        <xdr:cNvPr id="9" name="Chart 8">
          <a:extLst>
            <a:ext uri="{FF2B5EF4-FFF2-40B4-BE49-F238E27FC236}">
              <a16:creationId xmlns:a16="http://schemas.microsoft.com/office/drawing/2014/main" id="{E60680D7-37C0-D2AD-2780-D28BB55BB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350520</xdr:colOff>
      <xdr:row>18</xdr:row>
      <xdr:rowOff>152400</xdr:rowOff>
    </xdr:from>
    <xdr:to>
      <xdr:col>5</xdr:col>
      <xdr:colOff>891540</xdr:colOff>
      <xdr:row>32</xdr:row>
      <xdr:rowOff>173355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2570E5B6-0038-EBA0-B5B7-91482F6512A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543300" y="3444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419100</xdr:colOff>
      <xdr:row>21</xdr:row>
      <xdr:rowOff>91440</xdr:rowOff>
    </xdr:from>
    <xdr:to>
      <xdr:col>6</xdr:col>
      <xdr:colOff>708660</xdr:colOff>
      <xdr:row>35</xdr:row>
      <xdr:rowOff>112395</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5A928AB5-92E7-4FDD-F61E-8D75472040C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899660" y="3931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731520</xdr:colOff>
      <xdr:row>11</xdr:row>
      <xdr:rowOff>22860</xdr:rowOff>
    </xdr:from>
    <xdr:to>
      <xdr:col>7</xdr:col>
      <xdr:colOff>167640</xdr:colOff>
      <xdr:row>25</xdr:row>
      <xdr:rowOff>43815</xdr:rowOff>
    </xdr:to>
    <mc:AlternateContent xmlns:mc="http://schemas.openxmlformats.org/markup-compatibility/2006" xmlns:a14="http://schemas.microsoft.com/office/drawing/2010/main">
      <mc:Choice Requires="a14">
        <xdr:graphicFrame macro="">
          <xdr:nvGraphicFramePr>
            <xdr:cNvPr id="12" name="Doctor">
              <a:extLst>
                <a:ext uri="{FF2B5EF4-FFF2-40B4-BE49-F238E27FC236}">
                  <a16:creationId xmlns:a16="http://schemas.microsoft.com/office/drawing/2014/main" id="{58FC3F1C-A17A-2CD9-ED08-451889D8032E}"/>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5212080" y="2034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1188720</xdr:colOff>
      <xdr:row>21</xdr:row>
      <xdr:rowOff>60960</xdr:rowOff>
    </xdr:from>
    <xdr:to>
      <xdr:col>10</xdr:col>
      <xdr:colOff>586740</xdr:colOff>
      <xdr:row>35</xdr:row>
      <xdr:rowOff>81915</xdr:rowOff>
    </xdr:to>
    <mc:AlternateContent xmlns:mc="http://schemas.openxmlformats.org/markup-compatibility/2006" xmlns:a14="http://schemas.microsoft.com/office/drawing/2010/main">
      <mc:Choice Requires="a14">
        <xdr:graphicFrame macro="">
          <xdr:nvGraphicFramePr>
            <xdr:cNvPr id="13" name="PaymentStatus">
              <a:extLst>
                <a:ext uri="{FF2B5EF4-FFF2-40B4-BE49-F238E27FC236}">
                  <a16:creationId xmlns:a16="http://schemas.microsoft.com/office/drawing/2014/main" id="{2483C850-7C56-FDE7-87F5-B422405124A2}"/>
                </a:ext>
              </a:extLst>
            </xdr:cNvPr>
            <xdr:cNvGraphicFramePr/>
          </xdr:nvGraphicFramePr>
          <xdr:xfrm>
            <a:off x="0" y="0"/>
            <a:ext cx="0" cy="0"/>
          </xdr:xfrm>
          <a:graphic>
            <a:graphicData uri="http://schemas.microsoft.com/office/drawing/2010/slicer">
              <sle:slicer xmlns:sle="http://schemas.microsoft.com/office/drawing/2010/slicer" name="PaymentStatus"/>
            </a:graphicData>
          </a:graphic>
        </xdr:graphicFrame>
      </mc:Choice>
      <mc:Fallback xmlns="">
        <xdr:sp macro="" textlink="">
          <xdr:nvSpPr>
            <xdr:cNvPr id="0" name=""/>
            <xdr:cNvSpPr>
              <a:spLocks noTextEdit="1"/>
            </xdr:cNvSpPr>
          </xdr:nvSpPr>
          <xdr:spPr>
            <a:xfrm>
              <a:off x="8061960" y="3901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548639</xdr:colOff>
      <xdr:row>0</xdr:row>
      <xdr:rowOff>144780</xdr:rowOff>
    </xdr:from>
    <xdr:to>
      <xdr:col>19</xdr:col>
      <xdr:colOff>215152</xdr:colOff>
      <xdr:row>4</xdr:row>
      <xdr:rowOff>129540</xdr:rowOff>
    </xdr:to>
    <xdr:sp macro="" textlink="">
      <xdr:nvSpPr>
        <xdr:cNvPr id="2" name="Rectangle: Rounded Corners 1">
          <a:extLst>
            <a:ext uri="{FF2B5EF4-FFF2-40B4-BE49-F238E27FC236}">
              <a16:creationId xmlns:a16="http://schemas.microsoft.com/office/drawing/2014/main" id="{D43D614B-7B17-550D-A909-F4EE7A1D1FC5}"/>
            </a:ext>
          </a:extLst>
        </xdr:cNvPr>
        <xdr:cNvSpPr/>
      </xdr:nvSpPr>
      <xdr:spPr>
        <a:xfrm>
          <a:off x="1158239" y="144780"/>
          <a:ext cx="10639313" cy="701936"/>
        </a:xfrm>
        <a:prstGeom prst="round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2">
                  <a:lumMod val="75000"/>
                  <a:lumOff val="25000"/>
                </a:schemeClr>
              </a:solidFill>
            </a:rPr>
            <a:t>Excel</a:t>
          </a:r>
          <a:r>
            <a:rPr lang="en-IN" sz="2400" b="1" baseline="0">
              <a:solidFill>
                <a:schemeClr val="tx2">
                  <a:lumMod val="75000"/>
                  <a:lumOff val="25000"/>
                </a:schemeClr>
              </a:solidFill>
            </a:rPr>
            <a:t> Dashboard - </a:t>
          </a:r>
          <a:r>
            <a:rPr lang="en-IN" sz="2400" b="1">
              <a:solidFill>
                <a:schemeClr val="tx2">
                  <a:lumMod val="75000"/>
                  <a:lumOff val="25000"/>
                </a:schemeClr>
              </a:solidFill>
            </a:rPr>
            <a:t>Hospital</a:t>
          </a:r>
          <a:r>
            <a:rPr lang="en-IN" sz="2400" b="1" baseline="0">
              <a:solidFill>
                <a:schemeClr val="tx2">
                  <a:lumMod val="75000"/>
                  <a:lumOff val="25000"/>
                </a:schemeClr>
              </a:solidFill>
            </a:rPr>
            <a:t> Data Analysis</a:t>
          </a:r>
          <a:endParaRPr lang="en-IN" sz="2400" b="1">
            <a:solidFill>
              <a:schemeClr val="tx2">
                <a:lumMod val="75000"/>
                <a:lumOff val="25000"/>
              </a:schemeClr>
            </a:solidFill>
          </a:endParaRPr>
        </a:p>
      </xdr:txBody>
    </xdr:sp>
    <xdr:clientData/>
  </xdr:twoCellAnchor>
  <xdr:twoCellAnchor>
    <xdr:from>
      <xdr:col>2</xdr:col>
      <xdr:colOff>91440</xdr:colOff>
      <xdr:row>6</xdr:row>
      <xdr:rowOff>0</xdr:rowOff>
    </xdr:from>
    <xdr:to>
      <xdr:col>4</xdr:col>
      <xdr:colOff>205740</xdr:colOff>
      <xdr:row>9</xdr:row>
      <xdr:rowOff>114300</xdr:rowOff>
    </xdr:to>
    <xdr:sp macro="" textlink="PatientData!N1">
      <xdr:nvSpPr>
        <xdr:cNvPr id="3" name="Rectangle: Rounded Corners 2">
          <a:extLst>
            <a:ext uri="{FF2B5EF4-FFF2-40B4-BE49-F238E27FC236}">
              <a16:creationId xmlns:a16="http://schemas.microsoft.com/office/drawing/2014/main" id="{DCF5650F-E574-989D-D6CE-86A9AE19AE18}"/>
            </a:ext>
          </a:extLst>
        </xdr:cNvPr>
        <xdr:cNvSpPr/>
      </xdr:nvSpPr>
      <xdr:spPr>
        <a:xfrm>
          <a:off x="1310640" y="1097280"/>
          <a:ext cx="1333500" cy="662940"/>
        </a:xfrm>
        <a:prstGeom prst="round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tx2">
                  <a:lumMod val="75000"/>
                  <a:lumOff val="25000"/>
                </a:schemeClr>
              </a:solidFill>
            </a:rPr>
            <a:t>Total Patients</a:t>
          </a:r>
        </a:p>
      </xdr:txBody>
    </xdr:sp>
    <xdr:clientData/>
  </xdr:twoCellAnchor>
  <xdr:oneCellAnchor>
    <xdr:from>
      <xdr:col>3</xdr:col>
      <xdr:colOff>53340</xdr:colOff>
      <xdr:row>7</xdr:row>
      <xdr:rowOff>68580</xdr:rowOff>
    </xdr:from>
    <xdr:ext cx="1196340" cy="374077"/>
    <xdr:sp macro="" textlink="PivotTable!A2">
      <xdr:nvSpPr>
        <xdr:cNvPr id="13" name="TextBox 12">
          <a:extLst>
            <a:ext uri="{FF2B5EF4-FFF2-40B4-BE49-F238E27FC236}">
              <a16:creationId xmlns:a16="http://schemas.microsoft.com/office/drawing/2014/main" id="{FABD44AA-ECBC-28F0-A569-01E1208F4098}"/>
            </a:ext>
          </a:extLst>
        </xdr:cNvPr>
        <xdr:cNvSpPr txBox="1"/>
      </xdr:nvSpPr>
      <xdr:spPr>
        <a:xfrm>
          <a:off x="1882140" y="1348740"/>
          <a:ext cx="119634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rgbClr val="015069"/>
              </a:solidFill>
              <a:latin typeface="Aptos Narrow"/>
            </a:rPr>
            <a:t>    </a:t>
          </a:r>
          <a:fld id="{7AFCD7AB-6564-4638-906A-32BE48535CCA}" type="TxLink">
            <a:rPr lang="en-US" sz="1800" b="1" i="0" u="none" strike="noStrike">
              <a:solidFill>
                <a:srgbClr val="015069"/>
              </a:solidFill>
              <a:latin typeface="Aptos Narrow"/>
            </a:rPr>
            <a:pPr/>
            <a:t>30</a:t>
          </a:fld>
          <a:endParaRPr lang="en-IN" sz="1800" b="1">
            <a:solidFill>
              <a:srgbClr val="015069"/>
            </a:solidFill>
          </a:endParaRPr>
        </a:p>
      </xdr:txBody>
    </xdr:sp>
    <xdr:clientData/>
  </xdr:oneCellAnchor>
  <xdr:twoCellAnchor>
    <xdr:from>
      <xdr:col>5</xdr:col>
      <xdr:colOff>53340</xdr:colOff>
      <xdr:row>6</xdr:row>
      <xdr:rowOff>22860</xdr:rowOff>
    </xdr:from>
    <xdr:to>
      <xdr:col>7</xdr:col>
      <xdr:colOff>198120</xdr:colOff>
      <xdr:row>9</xdr:row>
      <xdr:rowOff>137160</xdr:rowOff>
    </xdr:to>
    <xdr:sp macro="" textlink="PatientData!N1">
      <xdr:nvSpPr>
        <xdr:cNvPr id="29" name="Rectangle: Rounded Corners 28">
          <a:extLst>
            <a:ext uri="{FF2B5EF4-FFF2-40B4-BE49-F238E27FC236}">
              <a16:creationId xmlns:a16="http://schemas.microsoft.com/office/drawing/2014/main" id="{673E0995-A9A5-419E-9A98-79A4AE3E6700}"/>
            </a:ext>
          </a:extLst>
        </xdr:cNvPr>
        <xdr:cNvSpPr/>
      </xdr:nvSpPr>
      <xdr:spPr>
        <a:xfrm>
          <a:off x="3101340" y="1120140"/>
          <a:ext cx="1363980" cy="662940"/>
        </a:xfrm>
        <a:prstGeom prst="round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tx2">
                  <a:lumMod val="75000"/>
                  <a:lumOff val="25000"/>
                </a:schemeClr>
              </a:solidFill>
            </a:rPr>
            <a:t>Total Revenue</a:t>
          </a:r>
        </a:p>
      </xdr:txBody>
    </xdr:sp>
    <xdr:clientData/>
  </xdr:twoCellAnchor>
  <xdr:oneCellAnchor>
    <xdr:from>
      <xdr:col>5</xdr:col>
      <xdr:colOff>426720</xdr:colOff>
      <xdr:row>7</xdr:row>
      <xdr:rowOff>91440</xdr:rowOff>
    </xdr:from>
    <xdr:ext cx="1196340" cy="374077"/>
    <xdr:sp macro="" textlink="PivotTable!B2">
      <xdr:nvSpPr>
        <xdr:cNvPr id="30" name="TextBox 29">
          <a:extLst>
            <a:ext uri="{FF2B5EF4-FFF2-40B4-BE49-F238E27FC236}">
              <a16:creationId xmlns:a16="http://schemas.microsoft.com/office/drawing/2014/main" id="{90A5F5E9-56D9-4E2A-BBD8-63D7E732EEF3}"/>
            </a:ext>
          </a:extLst>
        </xdr:cNvPr>
        <xdr:cNvSpPr txBox="1"/>
      </xdr:nvSpPr>
      <xdr:spPr>
        <a:xfrm>
          <a:off x="3474720" y="1371600"/>
          <a:ext cx="119634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244924E-BDB5-49F9-BA91-7CF765DA8FD7}" type="TxLink">
            <a:rPr lang="en-US" sz="1800" b="1" i="0" u="none" strike="noStrike">
              <a:solidFill>
                <a:srgbClr val="015069"/>
              </a:solidFill>
              <a:latin typeface="Aptos Narrow"/>
              <a:ea typeface="+mn-ea"/>
              <a:cs typeface="+mn-cs"/>
            </a:rPr>
            <a:pPr marL="0" indent="0"/>
            <a:t>1017000</a:t>
          </a:fld>
          <a:endParaRPr lang="en-IN" sz="1800" b="1" i="0" u="none" strike="noStrike">
            <a:solidFill>
              <a:srgbClr val="015069"/>
            </a:solidFill>
            <a:latin typeface="Aptos Narrow"/>
            <a:ea typeface="+mn-ea"/>
            <a:cs typeface="+mn-cs"/>
          </a:endParaRPr>
        </a:p>
      </xdr:txBody>
    </xdr:sp>
    <xdr:clientData/>
  </xdr:oneCellAnchor>
  <xdr:twoCellAnchor>
    <xdr:from>
      <xdr:col>7</xdr:col>
      <xdr:colOff>548640</xdr:colOff>
      <xdr:row>6</xdr:row>
      <xdr:rowOff>15240</xdr:rowOff>
    </xdr:from>
    <xdr:to>
      <xdr:col>10</xdr:col>
      <xdr:colOff>53340</xdr:colOff>
      <xdr:row>9</xdr:row>
      <xdr:rowOff>129540</xdr:rowOff>
    </xdr:to>
    <xdr:sp macro="" textlink="PatientData!N1">
      <xdr:nvSpPr>
        <xdr:cNvPr id="31" name="Rectangle: Rounded Corners 30">
          <a:extLst>
            <a:ext uri="{FF2B5EF4-FFF2-40B4-BE49-F238E27FC236}">
              <a16:creationId xmlns:a16="http://schemas.microsoft.com/office/drawing/2014/main" id="{9ED30448-B5E2-4D26-80C3-F0387D667E89}"/>
            </a:ext>
          </a:extLst>
        </xdr:cNvPr>
        <xdr:cNvSpPr/>
      </xdr:nvSpPr>
      <xdr:spPr>
        <a:xfrm>
          <a:off x="4815840" y="1091005"/>
          <a:ext cx="1333500" cy="652182"/>
        </a:xfrm>
        <a:prstGeom prst="round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tx2">
                  <a:lumMod val="75000"/>
                  <a:lumOff val="25000"/>
                </a:schemeClr>
              </a:solidFill>
            </a:rPr>
            <a:t>Pending</a:t>
          </a:r>
          <a:r>
            <a:rPr lang="en-IN" sz="1500" b="1" baseline="0">
              <a:solidFill>
                <a:schemeClr val="tx2">
                  <a:lumMod val="75000"/>
                  <a:lumOff val="25000"/>
                </a:schemeClr>
              </a:solidFill>
            </a:rPr>
            <a:t> Amt</a:t>
          </a:r>
          <a:endParaRPr lang="en-IN" sz="1500" b="1">
            <a:solidFill>
              <a:schemeClr val="tx2">
                <a:lumMod val="75000"/>
                <a:lumOff val="25000"/>
              </a:schemeClr>
            </a:solidFill>
          </a:endParaRPr>
        </a:p>
      </xdr:txBody>
    </xdr:sp>
    <xdr:clientData/>
  </xdr:twoCellAnchor>
  <xdr:oneCellAnchor>
    <xdr:from>
      <xdr:col>8</xdr:col>
      <xdr:colOff>411480</xdr:colOff>
      <xdr:row>7</xdr:row>
      <xdr:rowOff>83821</xdr:rowOff>
    </xdr:from>
    <xdr:ext cx="914400" cy="374077"/>
    <xdr:sp macro="" textlink="PivotTable!C4">
      <xdr:nvSpPr>
        <xdr:cNvPr id="32" name="TextBox 31">
          <a:extLst>
            <a:ext uri="{FF2B5EF4-FFF2-40B4-BE49-F238E27FC236}">
              <a16:creationId xmlns:a16="http://schemas.microsoft.com/office/drawing/2014/main" id="{FA39A8CC-80A5-42B8-A13A-DDBD936EB56F}"/>
            </a:ext>
          </a:extLst>
        </xdr:cNvPr>
        <xdr:cNvSpPr txBox="1"/>
      </xdr:nvSpPr>
      <xdr:spPr>
        <a:xfrm>
          <a:off x="5288280" y="1338880"/>
          <a:ext cx="91440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058627C-E96D-4850-8E13-AD619BC61CC4}" type="TxLink">
            <a:rPr lang="en-US" sz="1800" b="1" i="0" u="none" strike="noStrike">
              <a:solidFill>
                <a:srgbClr val="015069"/>
              </a:solidFill>
              <a:latin typeface="Aptos Narrow"/>
              <a:ea typeface="+mn-ea"/>
              <a:cs typeface="+mn-cs"/>
            </a:rPr>
            <a:pPr marL="0" indent="0"/>
            <a:t>1017000</a:t>
          </a:fld>
          <a:endParaRPr lang="en-IN" sz="1800" b="1" i="0" u="none" strike="noStrike">
            <a:solidFill>
              <a:srgbClr val="015069"/>
            </a:solidFill>
            <a:latin typeface="Aptos Narrow"/>
            <a:ea typeface="+mn-ea"/>
            <a:cs typeface="+mn-cs"/>
          </a:endParaRPr>
        </a:p>
      </xdr:txBody>
    </xdr:sp>
    <xdr:clientData/>
  </xdr:oneCellAnchor>
  <xdr:twoCellAnchor>
    <xdr:from>
      <xdr:col>10</xdr:col>
      <xdr:colOff>510540</xdr:colOff>
      <xdr:row>5</xdr:row>
      <xdr:rowOff>175260</xdr:rowOff>
    </xdr:from>
    <xdr:to>
      <xdr:col>13</xdr:col>
      <xdr:colOff>15240</xdr:colOff>
      <xdr:row>9</xdr:row>
      <xdr:rowOff>106680</xdr:rowOff>
    </xdr:to>
    <xdr:sp macro="" textlink="PatientData!N1">
      <xdr:nvSpPr>
        <xdr:cNvPr id="33" name="Rectangle: Rounded Corners 32">
          <a:extLst>
            <a:ext uri="{FF2B5EF4-FFF2-40B4-BE49-F238E27FC236}">
              <a16:creationId xmlns:a16="http://schemas.microsoft.com/office/drawing/2014/main" id="{E3D85516-B6B1-4ED8-9CB2-E9E3F65985FE}"/>
            </a:ext>
          </a:extLst>
        </xdr:cNvPr>
        <xdr:cNvSpPr/>
      </xdr:nvSpPr>
      <xdr:spPr>
        <a:xfrm>
          <a:off x="6606540" y="1089660"/>
          <a:ext cx="1333500" cy="662940"/>
        </a:xfrm>
        <a:prstGeom prst="round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tx2">
                  <a:lumMod val="75000"/>
                  <a:lumOff val="25000"/>
                </a:schemeClr>
              </a:solidFill>
            </a:rPr>
            <a:t>      AVG</a:t>
          </a:r>
          <a:r>
            <a:rPr lang="en-IN" sz="1500" b="1" baseline="0">
              <a:solidFill>
                <a:schemeClr val="tx2">
                  <a:lumMod val="75000"/>
                  <a:lumOff val="25000"/>
                </a:schemeClr>
              </a:solidFill>
            </a:rPr>
            <a:t> Cost </a:t>
          </a:r>
          <a:endParaRPr lang="en-IN" sz="1400" b="1">
            <a:solidFill>
              <a:schemeClr val="tx2">
                <a:lumMod val="75000"/>
                <a:lumOff val="25000"/>
              </a:schemeClr>
            </a:solidFill>
          </a:endParaRPr>
        </a:p>
      </xdr:txBody>
    </xdr:sp>
    <xdr:clientData/>
  </xdr:twoCellAnchor>
  <xdr:oneCellAnchor>
    <xdr:from>
      <xdr:col>11</xdr:col>
      <xdr:colOff>472440</xdr:colOff>
      <xdr:row>7</xdr:row>
      <xdr:rowOff>60960</xdr:rowOff>
    </xdr:from>
    <xdr:ext cx="1196340" cy="374077"/>
    <xdr:sp macro="" textlink="PivotTable!F8">
      <xdr:nvSpPr>
        <xdr:cNvPr id="34" name="TextBox 33">
          <a:extLst>
            <a:ext uri="{FF2B5EF4-FFF2-40B4-BE49-F238E27FC236}">
              <a16:creationId xmlns:a16="http://schemas.microsoft.com/office/drawing/2014/main" id="{AE085882-3719-4DC1-8C59-48A081FE44F9}"/>
            </a:ext>
          </a:extLst>
        </xdr:cNvPr>
        <xdr:cNvSpPr txBox="1"/>
      </xdr:nvSpPr>
      <xdr:spPr>
        <a:xfrm>
          <a:off x="7178040" y="1341120"/>
          <a:ext cx="119634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18896A2-81FB-49C4-9BA4-1E4B3C8827BD}" type="TxLink">
            <a:rPr lang="en-US" sz="1800" b="1" i="0" u="none" strike="noStrike">
              <a:solidFill>
                <a:srgbClr val="015069"/>
              </a:solidFill>
              <a:latin typeface="Aptos Narrow"/>
              <a:ea typeface="+mn-ea"/>
              <a:cs typeface="+mn-cs"/>
            </a:rPr>
            <a:pPr marL="0" indent="0"/>
            <a:t>33900</a:t>
          </a:fld>
          <a:endParaRPr lang="en-IN" sz="1800" b="1" i="0" u="none" strike="noStrike">
            <a:solidFill>
              <a:srgbClr val="015069"/>
            </a:solidFill>
            <a:latin typeface="Aptos Narrow"/>
            <a:ea typeface="+mn-ea"/>
            <a:cs typeface="+mn-cs"/>
          </a:endParaRPr>
        </a:p>
      </xdr:txBody>
    </xdr:sp>
    <xdr:clientData/>
  </xdr:oneCellAnchor>
  <xdr:twoCellAnchor>
    <xdr:from>
      <xdr:col>13</xdr:col>
      <xdr:colOff>352839</xdr:colOff>
      <xdr:row>6</xdr:row>
      <xdr:rowOff>24185</xdr:rowOff>
    </xdr:from>
    <xdr:to>
      <xdr:col>15</xdr:col>
      <xdr:colOff>467139</xdr:colOff>
      <xdr:row>9</xdr:row>
      <xdr:rowOff>138485</xdr:rowOff>
    </xdr:to>
    <xdr:sp macro="" textlink="PatientData!N1">
      <xdr:nvSpPr>
        <xdr:cNvPr id="35" name="Rectangle: Rounded Corners 34">
          <a:extLst>
            <a:ext uri="{FF2B5EF4-FFF2-40B4-BE49-F238E27FC236}">
              <a16:creationId xmlns:a16="http://schemas.microsoft.com/office/drawing/2014/main" id="{58D3E8C5-B3BC-4DCE-AD2E-EE29B5EADCD7}"/>
            </a:ext>
          </a:extLst>
        </xdr:cNvPr>
        <xdr:cNvSpPr/>
      </xdr:nvSpPr>
      <xdr:spPr>
        <a:xfrm>
          <a:off x="8320709" y="1117489"/>
          <a:ext cx="1340126" cy="660953"/>
        </a:xfrm>
        <a:prstGeom prst="round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tx2">
                  <a:lumMod val="75000"/>
                  <a:lumOff val="25000"/>
                </a:schemeClr>
              </a:solidFill>
            </a:rPr>
            <a:t>      AVG</a:t>
          </a:r>
          <a:r>
            <a:rPr lang="en-IN" sz="1500" b="1" baseline="0">
              <a:solidFill>
                <a:schemeClr val="tx2">
                  <a:lumMod val="75000"/>
                  <a:lumOff val="25000"/>
                </a:schemeClr>
              </a:solidFill>
            </a:rPr>
            <a:t> Stays</a:t>
          </a:r>
          <a:endParaRPr lang="en-IN" sz="1500" b="1">
            <a:solidFill>
              <a:schemeClr val="tx2">
                <a:lumMod val="75000"/>
                <a:lumOff val="25000"/>
              </a:schemeClr>
            </a:solidFill>
          </a:endParaRPr>
        </a:p>
      </xdr:txBody>
    </xdr:sp>
    <xdr:clientData/>
  </xdr:twoCellAnchor>
  <xdr:oneCellAnchor>
    <xdr:from>
      <xdr:col>14</xdr:col>
      <xdr:colOff>381000</xdr:colOff>
      <xdr:row>7</xdr:row>
      <xdr:rowOff>76200</xdr:rowOff>
    </xdr:from>
    <xdr:ext cx="1196340" cy="374077"/>
    <xdr:sp macro="" textlink="PivotTable!H8">
      <xdr:nvSpPr>
        <xdr:cNvPr id="36" name="TextBox 35">
          <a:extLst>
            <a:ext uri="{FF2B5EF4-FFF2-40B4-BE49-F238E27FC236}">
              <a16:creationId xmlns:a16="http://schemas.microsoft.com/office/drawing/2014/main" id="{C183E368-8D49-48F0-87B7-3E6FADB15236}"/>
            </a:ext>
          </a:extLst>
        </xdr:cNvPr>
        <xdr:cNvSpPr txBox="1"/>
      </xdr:nvSpPr>
      <xdr:spPr>
        <a:xfrm>
          <a:off x="8961783" y="1351722"/>
          <a:ext cx="119634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E9912B8-E878-4FE5-B828-037638813D64}" type="TxLink">
            <a:rPr lang="en-US" sz="1800" b="1" i="0" u="none" strike="noStrike">
              <a:solidFill>
                <a:srgbClr val="015069"/>
              </a:solidFill>
              <a:latin typeface="Aptos Narrow"/>
              <a:ea typeface="+mn-ea"/>
              <a:cs typeface="+mn-cs"/>
            </a:rPr>
            <a:pPr marL="0" indent="0"/>
            <a:t>5.4</a:t>
          </a:fld>
          <a:endParaRPr lang="en-IN" sz="1800" b="1" i="0" u="none" strike="noStrike">
            <a:solidFill>
              <a:srgbClr val="015069"/>
            </a:solidFill>
            <a:latin typeface="Aptos Narrow"/>
            <a:ea typeface="+mn-ea"/>
            <a:cs typeface="+mn-cs"/>
          </a:endParaRPr>
        </a:p>
      </xdr:txBody>
    </xdr:sp>
    <xdr:clientData/>
  </xdr:oneCellAnchor>
  <xdr:twoCellAnchor>
    <xdr:from>
      <xdr:col>7</xdr:col>
      <xdr:colOff>194534</xdr:colOff>
      <xdr:row>11</xdr:row>
      <xdr:rowOff>60510</xdr:rowOff>
    </xdr:from>
    <xdr:to>
      <xdr:col>13</xdr:col>
      <xdr:colOff>35859</xdr:colOff>
      <xdr:row>23</xdr:row>
      <xdr:rowOff>133124</xdr:rowOff>
    </xdr:to>
    <xdr:graphicFrame macro="">
      <xdr:nvGraphicFramePr>
        <xdr:cNvPr id="37" name="Chart 36">
          <a:extLst>
            <a:ext uri="{FF2B5EF4-FFF2-40B4-BE49-F238E27FC236}">
              <a16:creationId xmlns:a16="http://schemas.microsoft.com/office/drawing/2014/main" id="{DF5898A3-721F-48FF-AAEC-933C3C5BF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254598</xdr:colOff>
      <xdr:row>11</xdr:row>
      <xdr:rowOff>71268</xdr:rowOff>
    </xdr:from>
    <xdr:to>
      <xdr:col>19</xdr:col>
      <xdr:colOff>71717</xdr:colOff>
      <xdr:row>23</xdr:row>
      <xdr:rowOff>89647</xdr:rowOff>
    </xdr:to>
    <xdr:graphicFrame macro="">
      <xdr:nvGraphicFramePr>
        <xdr:cNvPr id="38" name="Chart 37">
          <a:extLst>
            <a:ext uri="{FF2B5EF4-FFF2-40B4-BE49-F238E27FC236}">
              <a16:creationId xmlns:a16="http://schemas.microsoft.com/office/drawing/2014/main" id="{AC07C042-D0E1-4CB2-957E-5483BD2DB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318247</xdr:colOff>
      <xdr:row>11</xdr:row>
      <xdr:rowOff>21515</xdr:rowOff>
    </xdr:from>
    <xdr:to>
      <xdr:col>6</xdr:col>
      <xdr:colOff>592567</xdr:colOff>
      <xdr:row>23</xdr:row>
      <xdr:rowOff>125506</xdr:rowOff>
    </xdr:to>
    <xdr:graphicFrame macro="">
      <xdr:nvGraphicFramePr>
        <xdr:cNvPr id="40" name="Chart 39">
          <a:extLst>
            <a:ext uri="{FF2B5EF4-FFF2-40B4-BE49-F238E27FC236}">
              <a16:creationId xmlns:a16="http://schemas.microsoft.com/office/drawing/2014/main" id="{F4BC65C7-7C6F-48BF-902D-38656BEEC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277903</xdr:colOff>
      <xdr:row>24</xdr:row>
      <xdr:rowOff>53789</xdr:rowOff>
    </xdr:from>
    <xdr:to>
      <xdr:col>19</xdr:col>
      <xdr:colOff>71718</xdr:colOff>
      <xdr:row>35</xdr:row>
      <xdr:rowOff>62754</xdr:rowOff>
    </xdr:to>
    <xdr:graphicFrame macro="">
      <xdr:nvGraphicFramePr>
        <xdr:cNvPr id="41" name="Chart 40">
          <a:extLst>
            <a:ext uri="{FF2B5EF4-FFF2-40B4-BE49-F238E27FC236}">
              <a16:creationId xmlns:a16="http://schemas.microsoft.com/office/drawing/2014/main" id="{3D345FF1-D782-43D6-B221-D87ACDF55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268942</xdr:colOff>
      <xdr:row>24</xdr:row>
      <xdr:rowOff>98612</xdr:rowOff>
    </xdr:from>
    <xdr:to>
      <xdr:col>7</xdr:col>
      <xdr:colOff>8965</xdr:colOff>
      <xdr:row>35</xdr:row>
      <xdr:rowOff>69477</xdr:rowOff>
    </xdr:to>
    <xdr:graphicFrame macro="">
      <xdr:nvGraphicFramePr>
        <xdr:cNvPr id="42" name="Chart 41">
          <a:extLst>
            <a:ext uri="{FF2B5EF4-FFF2-40B4-BE49-F238E27FC236}">
              <a16:creationId xmlns:a16="http://schemas.microsoft.com/office/drawing/2014/main" id="{E2B4B5E7-3F4F-47F6-9EAD-E4F6FD730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206189</xdr:colOff>
      <xdr:row>6</xdr:row>
      <xdr:rowOff>80681</xdr:rowOff>
    </xdr:from>
    <xdr:to>
      <xdr:col>22</xdr:col>
      <xdr:colOff>206189</xdr:colOff>
      <xdr:row>11</xdr:row>
      <xdr:rowOff>53788</xdr:rowOff>
    </xdr:to>
    <mc:AlternateContent xmlns:mc="http://schemas.openxmlformats.org/markup-compatibility/2006" xmlns:a14="http://schemas.microsoft.com/office/drawing/2010/main">
      <mc:Choice Requires="a14">
        <xdr:graphicFrame macro="">
          <xdr:nvGraphicFramePr>
            <xdr:cNvPr id="44" name="Gender 1">
              <a:extLst>
                <a:ext uri="{FF2B5EF4-FFF2-40B4-BE49-F238E27FC236}">
                  <a16:creationId xmlns:a16="http://schemas.microsoft.com/office/drawing/2014/main" id="{1676C7CD-A8DF-48C4-BC23-4DE2A149C04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851537" y="1173985"/>
              <a:ext cx="1838739" cy="884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170328</xdr:colOff>
      <xdr:row>24</xdr:row>
      <xdr:rowOff>98612</xdr:rowOff>
    </xdr:from>
    <xdr:to>
      <xdr:col>13</xdr:col>
      <xdr:colOff>107575</xdr:colOff>
      <xdr:row>35</xdr:row>
      <xdr:rowOff>89646</xdr:rowOff>
    </xdr:to>
    <xdr:graphicFrame macro="">
      <xdr:nvGraphicFramePr>
        <xdr:cNvPr id="43" name="Chart 42">
          <a:extLst>
            <a:ext uri="{FF2B5EF4-FFF2-40B4-BE49-F238E27FC236}">
              <a16:creationId xmlns:a16="http://schemas.microsoft.com/office/drawing/2014/main" id="{526C931D-8699-4285-9D59-CD238D425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246979</xdr:colOff>
      <xdr:row>21</xdr:row>
      <xdr:rowOff>4931</xdr:rowOff>
    </xdr:from>
    <xdr:to>
      <xdr:col>22</xdr:col>
      <xdr:colOff>246979</xdr:colOff>
      <xdr:row>28</xdr:row>
      <xdr:rowOff>8965</xdr:rowOff>
    </xdr:to>
    <mc:AlternateContent xmlns:mc="http://schemas.openxmlformats.org/markup-compatibility/2006" xmlns:a14="http://schemas.microsoft.com/office/drawing/2010/main">
      <mc:Choice Requires="a14">
        <xdr:graphicFrame macro="">
          <xdr:nvGraphicFramePr>
            <xdr:cNvPr id="46" name="Doctor 1">
              <a:extLst>
                <a:ext uri="{FF2B5EF4-FFF2-40B4-BE49-F238E27FC236}">
                  <a16:creationId xmlns:a16="http://schemas.microsoft.com/office/drawing/2014/main" id="{73A78AC1-5BF7-44EE-8D01-9A74A24D0ED6}"/>
                </a:ext>
              </a:extLst>
            </xdr:cNvPr>
            <xdr:cNvGraphicFramePr/>
          </xdr:nvGraphicFramePr>
          <xdr:xfrm>
            <a:off x="0" y="0"/>
            <a:ext cx="0" cy="0"/>
          </xdr:xfrm>
          <a:graphic>
            <a:graphicData uri="http://schemas.microsoft.com/office/drawing/2010/slicer">
              <sle:slicer xmlns:sle="http://schemas.microsoft.com/office/drawing/2010/slicer" name="Doctor 1"/>
            </a:graphicData>
          </a:graphic>
        </xdr:graphicFrame>
      </mc:Choice>
      <mc:Fallback xmlns="">
        <xdr:sp macro="" textlink="">
          <xdr:nvSpPr>
            <xdr:cNvPr id="0" name=""/>
            <xdr:cNvSpPr>
              <a:spLocks noTextEdit="1"/>
            </xdr:cNvSpPr>
          </xdr:nvSpPr>
          <xdr:spPr>
            <a:xfrm>
              <a:off x="11892327" y="3831496"/>
              <a:ext cx="1838739" cy="1279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229496</xdr:colOff>
      <xdr:row>29</xdr:row>
      <xdr:rowOff>108475</xdr:rowOff>
    </xdr:from>
    <xdr:to>
      <xdr:col>22</xdr:col>
      <xdr:colOff>229496</xdr:colOff>
      <xdr:row>34</xdr:row>
      <xdr:rowOff>89650</xdr:rowOff>
    </xdr:to>
    <mc:AlternateContent xmlns:mc="http://schemas.openxmlformats.org/markup-compatibility/2006" xmlns:a14="http://schemas.microsoft.com/office/drawing/2010/main">
      <mc:Choice Requires="a14">
        <xdr:graphicFrame macro="">
          <xdr:nvGraphicFramePr>
            <xdr:cNvPr id="47" name="PaymentStatus 1">
              <a:extLst>
                <a:ext uri="{FF2B5EF4-FFF2-40B4-BE49-F238E27FC236}">
                  <a16:creationId xmlns:a16="http://schemas.microsoft.com/office/drawing/2014/main" id="{1F3EB36C-89E2-454A-82C3-D24A75B089E5}"/>
                </a:ext>
              </a:extLst>
            </xdr:cNvPr>
            <xdr:cNvGraphicFramePr/>
          </xdr:nvGraphicFramePr>
          <xdr:xfrm>
            <a:off x="0" y="0"/>
            <a:ext cx="0" cy="0"/>
          </xdr:xfrm>
          <a:graphic>
            <a:graphicData uri="http://schemas.microsoft.com/office/drawing/2010/slicer">
              <sle:slicer xmlns:sle="http://schemas.microsoft.com/office/drawing/2010/slicer" name="PaymentStatus 1"/>
            </a:graphicData>
          </a:graphic>
        </xdr:graphicFrame>
      </mc:Choice>
      <mc:Fallback xmlns="">
        <xdr:sp macro="" textlink="">
          <xdr:nvSpPr>
            <xdr:cNvPr id="0" name=""/>
            <xdr:cNvSpPr>
              <a:spLocks noTextEdit="1"/>
            </xdr:cNvSpPr>
          </xdr:nvSpPr>
          <xdr:spPr>
            <a:xfrm>
              <a:off x="11874844" y="5392779"/>
              <a:ext cx="1838739" cy="892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206188</xdr:colOff>
      <xdr:row>12</xdr:row>
      <xdr:rowOff>98612</xdr:rowOff>
    </xdr:from>
    <xdr:to>
      <xdr:col>22</xdr:col>
      <xdr:colOff>206188</xdr:colOff>
      <xdr:row>19</xdr:row>
      <xdr:rowOff>98610</xdr:rowOff>
    </xdr:to>
    <mc:AlternateContent xmlns:mc="http://schemas.openxmlformats.org/markup-compatibility/2006" xmlns:a14="http://schemas.microsoft.com/office/drawing/2010/main">
      <mc:Choice Requires="a14">
        <xdr:graphicFrame macro="">
          <xdr:nvGraphicFramePr>
            <xdr:cNvPr id="45" name="Department 1">
              <a:extLst>
                <a:ext uri="{FF2B5EF4-FFF2-40B4-BE49-F238E27FC236}">
                  <a16:creationId xmlns:a16="http://schemas.microsoft.com/office/drawing/2014/main" id="{408C45A5-33D4-4F55-93AB-0B4EB975B45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851536" y="2285221"/>
              <a:ext cx="1838739" cy="1275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80685</xdr:colOff>
      <xdr:row>0</xdr:row>
      <xdr:rowOff>0</xdr:rowOff>
    </xdr:from>
    <xdr:to>
      <xdr:col>3</xdr:col>
      <xdr:colOff>475128</xdr:colOff>
      <xdr:row>5</xdr:row>
      <xdr:rowOff>17925</xdr:rowOff>
    </xdr:to>
    <xdr:pic>
      <xdr:nvPicPr>
        <xdr:cNvPr id="55" name="Picture 54">
          <a:extLst>
            <a:ext uri="{FF2B5EF4-FFF2-40B4-BE49-F238E27FC236}">
              <a16:creationId xmlns:a16="http://schemas.microsoft.com/office/drawing/2014/main" id="{0D52CE68-2E8D-3002-CB72-D05CA36451B4}"/>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299885" y="0"/>
          <a:ext cx="1004043" cy="914396"/>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2</xdr:col>
      <xdr:colOff>322731</xdr:colOff>
      <xdr:row>7</xdr:row>
      <xdr:rowOff>35860</xdr:rowOff>
    </xdr:from>
    <xdr:to>
      <xdr:col>3</xdr:col>
      <xdr:colOff>170331</xdr:colOff>
      <xdr:row>9</xdr:row>
      <xdr:rowOff>134472</xdr:rowOff>
    </xdr:to>
    <xdr:pic>
      <xdr:nvPicPr>
        <xdr:cNvPr id="58" name="Graphic 57" descr="Users with solid fill">
          <a:extLst>
            <a:ext uri="{FF2B5EF4-FFF2-40B4-BE49-F238E27FC236}">
              <a16:creationId xmlns:a16="http://schemas.microsoft.com/office/drawing/2014/main" id="{8251EE09-C48C-7B73-2D51-C73F2F1786E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41931" y="1290919"/>
          <a:ext cx="457200" cy="457200"/>
        </a:xfrm>
        <a:prstGeom prst="rect">
          <a:avLst/>
        </a:prstGeom>
      </xdr:spPr>
    </xdr:pic>
    <xdr:clientData/>
  </xdr:twoCellAnchor>
  <xdr:twoCellAnchor editAs="oneCell">
    <xdr:from>
      <xdr:col>5</xdr:col>
      <xdr:colOff>179294</xdr:colOff>
      <xdr:row>7</xdr:row>
      <xdr:rowOff>107576</xdr:rowOff>
    </xdr:from>
    <xdr:to>
      <xdr:col>5</xdr:col>
      <xdr:colOff>502023</xdr:colOff>
      <xdr:row>9</xdr:row>
      <xdr:rowOff>71717</xdr:rowOff>
    </xdr:to>
    <xdr:pic>
      <xdr:nvPicPr>
        <xdr:cNvPr id="62" name="Graphic 61" descr="Coins with solid fill">
          <a:extLst>
            <a:ext uri="{FF2B5EF4-FFF2-40B4-BE49-F238E27FC236}">
              <a16:creationId xmlns:a16="http://schemas.microsoft.com/office/drawing/2014/main" id="{697B8646-335E-308A-3B1A-D0E626779C7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27294" y="1362635"/>
          <a:ext cx="322729" cy="322729"/>
        </a:xfrm>
        <a:prstGeom prst="rect">
          <a:avLst/>
        </a:prstGeom>
      </xdr:spPr>
    </xdr:pic>
    <xdr:clientData/>
  </xdr:twoCellAnchor>
  <xdr:twoCellAnchor editAs="oneCell">
    <xdr:from>
      <xdr:col>8</xdr:col>
      <xdr:colOff>73511</xdr:colOff>
      <xdr:row>7</xdr:row>
      <xdr:rowOff>131781</xdr:rowOff>
    </xdr:from>
    <xdr:to>
      <xdr:col>8</xdr:col>
      <xdr:colOff>396240</xdr:colOff>
      <xdr:row>9</xdr:row>
      <xdr:rowOff>95922</xdr:rowOff>
    </xdr:to>
    <xdr:pic>
      <xdr:nvPicPr>
        <xdr:cNvPr id="63" name="Graphic 62" descr="Coins with solid fill">
          <a:extLst>
            <a:ext uri="{FF2B5EF4-FFF2-40B4-BE49-F238E27FC236}">
              <a16:creationId xmlns:a16="http://schemas.microsoft.com/office/drawing/2014/main" id="{A76ED734-7450-476C-8E13-771CF5A67AB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950311" y="1386840"/>
          <a:ext cx="322729" cy="322729"/>
        </a:xfrm>
        <a:prstGeom prst="rect">
          <a:avLst/>
        </a:prstGeom>
      </xdr:spPr>
    </xdr:pic>
    <xdr:clientData/>
  </xdr:twoCellAnchor>
  <xdr:twoCellAnchor editAs="oneCell">
    <xdr:from>
      <xdr:col>11</xdr:col>
      <xdr:colOff>125507</xdr:colOff>
      <xdr:row>7</xdr:row>
      <xdr:rowOff>98613</xdr:rowOff>
    </xdr:from>
    <xdr:to>
      <xdr:col>11</xdr:col>
      <xdr:colOff>495301</xdr:colOff>
      <xdr:row>9</xdr:row>
      <xdr:rowOff>89648</xdr:rowOff>
    </xdr:to>
    <xdr:pic>
      <xdr:nvPicPr>
        <xdr:cNvPr id="65" name="Graphic 64" descr="Money with solid fill">
          <a:extLst>
            <a:ext uri="{FF2B5EF4-FFF2-40B4-BE49-F238E27FC236}">
              <a16:creationId xmlns:a16="http://schemas.microsoft.com/office/drawing/2014/main" id="{817A4309-F03B-8F33-E9F1-3C0C4011D64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831107" y="1353672"/>
          <a:ext cx="369794" cy="349623"/>
        </a:xfrm>
        <a:prstGeom prst="rect">
          <a:avLst/>
        </a:prstGeom>
      </xdr:spPr>
    </xdr:pic>
    <xdr:clientData/>
  </xdr:twoCellAnchor>
  <xdr:twoCellAnchor editAs="oneCell">
    <xdr:from>
      <xdr:col>14</xdr:col>
      <xdr:colOff>71720</xdr:colOff>
      <xdr:row>7</xdr:row>
      <xdr:rowOff>143437</xdr:rowOff>
    </xdr:from>
    <xdr:to>
      <xdr:col>14</xdr:col>
      <xdr:colOff>403412</xdr:colOff>
      <xdr:row>9</xdr:row>
      <xdr:rowOff>116541</xdr:rowOff>
    </xdr:to>
    <xdr:pic>
      <xdr:nvPicPr>
        <xdr:cNvPr id="67" name="Graphic 66" descr="Clock with solid fill">
          <a:extLst>
            <a:ext uri="{FF2B5EF4-FFF2-40B4-BE49-F238E27FC236}">
              <a16:creationId xmlns:a16="http://schemas.microsoft.com/office/drawing/2014/main" id="{F87DD727-E8C1-A2D9-C70C-D0C5F38EB62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652503" y="1418959"/>
          <a:ext cx="331692" cy="33753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Parashar" refreshedDate="45948.914957060188" createdVersion="8" refreshedVersion="8" minRefreshableVersion="3" recordCount="30" xr:uid="{E608283B-54E3-4FCE-8B39-1C31CDA58590}">
  <cacheSource type="worksheet">
    <worksheetSource name="Table1"/>
  </cacheSource>
  <cacheFields count="13">
    <cacheField name="PatientID" numFmtId="0">
      <sharedItems/>
    </cacheField>
    <cacheField name="Name" numFmtId="0">
      <sharedItems/>
    </cacheField>
    <cacheField name="Age" numFmtId="0">
      <sharedItems containsSemiMixedTypes="0" containsString="0" containsNumber="1" containsInteger="1" minValue="26" maxValue="60"/>
    </cacheField>
    <cacheField name="Gender" numFmtId="0">
      <sharedItems count="2">
        <s v="M"/>
        <s v="F"/>
      </sharedItems>
    </cacheField>
    <cacheField name="Department" numFmtId="0">
      <sharedItems count="6">
        <s v="Cardiology"/>
        <s v="Neurology"/>
        <s v="Orthopedics"/>
        <s v="Dermatology"/>
        <s v="Pediatrics"/>
        <s v="Gynecology"/>
      </sharedItems>
    </cacheField>
    <cacheField name="Doctor" numFmtId="0">
      <sharedItems count="6">
        <s v="Dr. Sharma"/>
        <s v="Dr. Mehta"/>
        <s v="Dr. Joshi"/>
        <s v="Dr. Kapoor"/>
        <s v="Dr. Sinha"/>
        <s v="Dr. Verma"/>
      </sharedItems>
    </cacheField>
    <cacheField name="AdmissionDate" numFmtId="0">
      <sharedItems count="30">
        <s v="01-Jan-2025"/>
        <s v="03-Jan-2025"/>
        <s v="05-Jan-2025"/>
        <s v="06-Jan-2025"/>
        <s v="08-Jan-2025"/>
        <s v="10-Jan-2025"/>
        <s v="12-Jan-2025"/>
        <s v="13-Jan-2025"/>
        <s v="15-Jan-2025"/>
        <s v="17-Jan-2025"/>
        <s v="20-Jan-2025"/>
        <s v="21-Jan-2025"/>
        <s v="23-Jan-2025"/>
        <s v="25-Jan-2025"/>
        <s v="27-Jan-2025"/>
        <s v="29-Jan-2025"/>
        <s v="30-Jan-2025"/>
        <s v="01-Feb-2025"/>
        <s v="02-Feb-2025"/>
        <s v="04-Feb-2025"/>
        <s v="05-Feb-2025"/>
        <s v="06-Feb-2025"/>
        <s v="07-Feb-2025"/>
        <s v="08-Feb-2025"/>
        <s v="09-Feb-2025"/>
        <s v="10-Feb-2025"/>
        <s v="11-Feb-2025"/>
        <s v="12-Feb-2025"/>
        <s v="13-Feb-2025"/>
        <s v="14-Feb-2025"/>
      </sharedItems>
    </cacheField>
    <cacheField name="DischargeDate" numFmtId="0">
      <sharedItems/>
    </cacheField>
    <cacheField name="RoomNo" numFmtId="0">
      <sharedItems containsSemiMixedTypes="0" containsString="0" containsNumber="1" containsInteger="1" minValue="101" maxValue="130"/>
    </cacheField>
    <cacheField name="Diagnosis" numFmtId="0">
      <sharedItems count="27">
        <s v="Heart Disease"/>
        <s v="Migraine"/>
        <s v="Fracture"/>
        <s v="Hypertension"/>
        <s v="Skin Allergy"/>
        <s v="Fever"/>
        <s v="Angina"/>
        <s v="Pregnancy Care"/>
        <s v="Joint Pain"/>
        <s v="Bypass Surgery"/>
        <s v="Skin Infection"/>
        <s v="Viral Fever"/>
        <s v="Fibroids"/>
        <s v="Back Pain"/>
        <s v="Epilepsy"/>
        <s v="Heart Blockage"/>
        <s v="Psoriasis"/>
        <s v="Asthma"/>
        <s v="PCOS"/>
        <s v="Paralysis"/>
        <s v="Heart Attack"/>
        <s v="Acne"/>
        <s v="Arthritis"/>
        <s v="Pneumonia"/>
        <s v="Infertility"/>
        <s v="Pacemaker"/>
        <s v="Skin Burn"/>
      </sharedItems>
    </cacheField>
    <cacheField name="TreatmentCost" numFmtId="0">
      <sharedItems containsSemiMixedTypes="0" containsString="0" containsNumber="1" containsInteger="1" minValue="8000" maxValue="100000"/>
    </cacheField>
    <cacheField name="PaymentStatus" numFmtId="0">
      <sharedItems count="2">
        <s v="Paid"/>
        <s v="Pending"/>
      </sharedItems>
    </cacheField>
    <cacheField name="stay days" numFmtId="0">
      <sharedItems containsSemiMixedTypes="0" containsString="0" containsNumber="1" containsInteger="1" minValue="2" maxValue="8"/>
    </cacheField>
  </cacheFields>
  <extLst>
    <ext xmlns:x14="http://schemas.microsoft.com/office/spreadsheetml/2009/9/main" uri="{725AE2AE-9491-48be-B2B4-4EB974FC3084}">
      <x14:pivotCacheDefinition pivotCacheId="1237334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P001"/>
    <s v="Rajesh Kumar"/>
    <n v="45"/>
    <x v="0"/>
    <x v="0"/>
    <x v="0"/>
    <x v="0"/>
    <s v="05-Jan-2025"/>
    <n v="101"/>
    <x v="0"/>
    <n v="45000"/>
    <x v="0"/>
    <n v="4"/>
  </r>
  <r>
    <s v="P002"/>
    <s v="Priya Singh"/>
    <n v="32"/>
    <x v="1"/>
    <x v="1"/>
    <x v="1"/>
    <x v="1"/>
    <s v="10-Jan-2025"/>
    <n v="102"/>
    <x v="1"/>
    <n v="22000"/>
    <x v="1"/>
    <n v="7"/>
  </r>
  <r>
    <s v="P003"/>
    <s v="Arjun Patel"/>
    <n v="28"/>
    <x v="0"/>
    <x v="2"/>
    <x v="2"/>
    <x v="2"/>
    <s v="12-Jan-2025"/>
    <n v="103"/>
    <x v="2"/>
    <n v="30000"/>
    <x v="0"/>
    <n v="7"/>
  </r>
  <r>
    <s v="P004"/>
    <s v="Sneha Desai"/>
    <n v="50"/>
    <x v="1"/>
    <x v="0"/>
    <x v="0"/>
    <x v="3"/>
    <s v="14-Jan-2025"/>
    <n v="104"/>
    <x v="3"/>
    <n v="18000"/>
    <x v="0"/>
    <n v="8"/>
  </r>
  <r>
    <s v="P005"/>
    <s v="Vivek Rao"/>
    <n v="39"/>
    <x v="0"/>
    <x v="3"/>
    <x v="3"/>
    <x v="4"/>
    <s v="10-Jan-2025"/>
    <n v="105"/>
    <x v="4"/>
    <n v="12000"/>
    <x v="1"/>
    <n v="2"/>
  </r>
  <r>
    <s v="P006"/>
    <s v="Neha Jain"/>
    <n v="26"/>
    <x v="1"/>
    <x v="4"/>
    <x v="4"/>
    <x v="5"/>
    <s v="13-Jan-2025"/>
    <n v="106"/>
    <x v="5"/>
    <n v="8000"/>
    <x v="0"/>
    <n v="3"/>
  </r>
  <r>
    <s v="P007"/>
    <s v="Anil Kumar"/>
    <n v="60"/>
    <x v="0"/>
    <x v="0"/>
    <x v="0"/>
    <x v="6"/>
    <s v="20-Jan-2025"/>
    <n v="107"/>
    <x v="6"/>
    <n v="50000"/>
    <x v="0"/>
    <n v="8"/>
  </r>
  <r>
    <s v="P008"/>
    <s v="Kavita More"/>
    <n v="34"/>
    <x v="1"/>
    <x v="5"/>
    <x v="5"/>
    <x v="7"/>
    <s v="18-Jan-2025"/>
    <n v="108"/>
    <x v="7"/>
    <n v="35000"/>
    <x v="0"/>
    <n v="5"/>
  </r>
  <r>
    <s v="P009"/>
    <s v="Rohit Shah"/>
    <n v="41"/>
    <x v="0"/>
    <x v="2"/>
    <x v="2"/>
    <x v="8"/>
    <s v="22-Jan-2025"/>
    <n v="109"/>
    <x v="8"/>
    <n v="25000"/>
    <x v="1"/>
    <n v="7"/>
  </r>
  <r>
    <s v="P010"/>
    <s v="Pooja Nair"/>
    <n v="37"/>
    <x v="1"/>
    <x v="1"/>
    <x v="1"/>
    <x v="9"/>
    <s v="25-Jan-2025"/>
    <n v="110"/>
    <x v="1"/>
    <n v="23000"/>
    <x v="0"/>
    <n v="8"/>
  </r>
  <r>
    <s v="P011"/>
    <s v="Sunil Rathi"/>
    <n v="55"/>
    <x v="0"/>
    <x v="0"/>
    <x v="0"/>
    <x v="10"/>
    <s v="28-Jan-2025"/>
    <n v="111"/>
    <x v="9"/>
    <n v="75000"/>
    <x v="1"/>
    <n v="8"/>
  </r>
  <r>
    <s v="P012"/>
    <s v="Asha Kulkarni"/>
    <n v="42"/>
    <x v="1"/>
    <x v="3"/>
    <x v="3"/>
    <x v="11"/>
    <s v="24-Jan-2025"/>
    <n v="112"/>
    <x v="10"/>
    <n v="15000"/>
    <x v="0"/>
    <n v="3"/>
  </r>
  <r>
    <s v="P013"/>
    <s v="Mohan Yadav"/>
    <n v="29"/>
    <x v="0"/>
    <x v="4"/>
    <x v="4"/>
    <x v="12"/>
    <s v="26-Jan-2025"/>
    <n v="113"/>
    <x v="11"/>
    <n v="9000"/>
    <x v="0"/>
    <n v="3"/>
  </r>
  <r>
    <s v="P014"/>
    <s v="Meena Joshi"/>
    <n v="48"/>
    <x v="1"/>
    <x v="5"/>
    <x v="5"/>
    <x v="13"/>
    <s v="31-Jan-2025"/>
    <n v="114"/>
    <x v="12"/>
    <n v="40000"/>
    <x v="1"/>
    <n v="6"/>
  </r>
  <r>
    <s v="P015"/>
    <s v="Deepak Rane"/>
    <n v="36"/>
    <x v="0"/>
    <x v="2"/>
    <x v="2"/>
    <x v="14"/>
    <s v="03-Feb-2025"/>
    <n v="115"/>
    <x v="13"/>
    <n v="27000"/>
    <x v="0"/>
    <n v="7"/>
  </r>
  <r>
    <s v="P016"/>
    <s v="Rina Paul"/>
    <n v="31"/>
    <x v="1"/>
    <x v="1"/>
    <x v="1"/>
    <x v="15"/>
    <s v="02-Feb-2025"/>
    <n v="116"/>
    <x v="14"/>
    <n v="32000"/>
    <x v="0"/>
    <n v="4"/>
  </r>
  <r>
    <s v="P017"/>
    <s v="Kunal Das"/>
    <n v="52"/>
    <x v="0"/>
    <x v="0"/>
    <x v="0"/>
    <x v="16"/>
    <s v="06-Feb-2025"/>
    <n v="117"/>
    <x v="15"/>
    <n v="68000"/>
    <x v="1"/>
    <n v="7"/>
  </r>
  <r>
    <s v="P018"/>
    <s v="Shweta Iyer"/>
    <n v="40"/>
    <x v="1"/>
    <x v="3"/>
    <x v="3"/>
    <x v="17"/>
    <s v="04-Feb-2025"/>
    <n v="118"/>
    <x v="16"/>
    <n v="16000"/>
    <x v="0"/>
    <n v="3"/>
  </r>
  <r>
    <s v="P019"/>
    <s v="Raj Malhotra"/>
    <n v="33"/>
    <x v="0"/>
    <x v="4"/>
    <x v="4"/>
    <x v="18"/>
    <s v="07-Feb-2025"/>
    <n v="119"/>
    <x v="17"/>
    <n v="11000"/>
    <x v="0"/>
    <n v="5"/>
  </r>
  <r>
    <s v="P020"/>
    <s v="Seema Rani"/>
    <n v="27"/>
    <x v="1"/>
    <x v="5"/>
    <x v="5"/>
    <x v="19"/>
    <s v="09-Feb-2025"/>
    <n v="120"/>
    <x v="18"/>
    <n v="28000"/>
    <x v="0"/>
    <n v="5"/>
  </r>
  <r>
    <s v="P021"/>
    <s v="Ajay Pandit"/>
    <n v="38"/>
    <x v="0"/>
    <x v="2"/>
    <x v="2"/>
    <x v="20"/>
    <s v="10-Feb-2025"/>
    <n v="121"/>
    <x v="2"/>
    <n v="30000"/>
    <x v="1"/>
    <n v="5"/>
  </r>
  <r>
    <s v="P022"/>
    <s v="Nisha Goyal"/>
    <n v="43"/>
    <x v="1"/>
    <x v="1"/>
    <x v="1"/>
    <x v="21"/>
    <s v="12-Feb-2025"/>
    <n v="122"/>
    <x v="19"/>
    <n v="60000"/>
    <x v="0"/>
    <n v="6"/>
  </r>
  <r>
    <s v="P023"/>
    <s v="Sanjay Jadhav"/>
    <n v="54"/>
    <x v="0"/>
    <x v="0"/>
    <x v="0"/>
    <x v="22"/>
    <s v="14-Feb-2025"/>
    <n v="123"/>
    <x v="20"/>
    <n v="90000"/>
    <x v="0"/>
    <n v="7"/>
  </r>
  <r>
    <s v="P024"/>
    <s v="Divya Singh"/>
    <n v="35"/>
    <x v="1"/>
    <x v="3"/>
    <x v="3"/>
    <x v="23"/>
    <s v="11-Feb-2025"/>
    <n v="124"/>
    <x v="21"/>
    <n v="10000"/>
    <x v="1"/>
    <n v="3"/>
  </r>
  <r>
    <s v="P025"/>
    <s v="Harish Patel"/>
    <n v="47"/>
    <x v="0"/>
    <x v="2"/>
    <x v="2"/>
    <x v="24"/>
    <s v="15-Feb-2025"/>
    <n v="125"/>
    <x v="22"/>
    <n v="35000"/>
    <x v="0"/>
    <n v="6"/>
  </r>
  <r>
    <s v="P026"/>
    <s v="Rekha Bhosle"/>
    <n v="39"/>
    <x v="1"/>
    <x v="4"/>
    <x v="4"/>
    <x v="25"/>
    <s v="13-Feb-2025"/>
    <n v="126"/>
    <x v="23"/>
    <n v="15000"/>
    <x v="0"/>
    <n v="3"/>
  </r>
  <r>
    <s v="P027"/>
    <s v="Gaurav Thakur"/>
    <n v="46"/>
    <x v="0"/>
    <x v="5"/>
    <x v="5"/>
    <x v="26"/>
    <s v="16-Feb-2025"/>
    <n v="127"/>
    <x v="24"/>
    <n v="45000"/>
    <x v="1"/>
    <n v="5"/>
  </r>
  <r>
    <s v="P028"/>
    <s v="Anjali Nair"/>
    <n v="30"/>
    <x v="1"/>
    <x v="1"/>
    <x v="1"/>
    <x v="27"/>
    <s v="18-Feb-2025"/>
    <n v="128"/>
    <x v="1"/>
    <n v="25000"/>
    <x v="0"/>
    <n v="6"/>
  </r>
  <r>
    <s v="P029"/>
    <s v="Suresh Rao"/>
    <n v="51"/>
    <x v="0"/>
    <x v="0"/>
    <x v="0"/>
    <x v="28"/>
    <s v="20-Feb-2025"/>
    <n v="129"/>
    <x v="25"/>
    <n v="100000"/>
    <x v="0"/>
    <n v="7"/>
  </r>
  <r>
    <s v="P030"/>
    <s v="Kirti Kulkarni"/>
    <n v="28"/>
    <x v="1"/>
    <x v="3"/>
    <x v="3"/>
    <x v="29"/>
    <s v="19-Feb-2025"/>
    <n v="130"/>
    <x v="26"/>
    <n v="18000"/>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11A599-9CC9-48A1-9BF2-D5A07077681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0:N38" firstHeaderRow="1" firstDataRow="1" firstDataCol="1"/>
  <pivotFields count="13">
    <pivotField dataField="1" showAll="0"/>
    <pivotField showAll="0"/>
    <pivotField showAll="0"/>
    <pivotField showAll="0">
      <items count="3">
        <item x="1"/>
        <item x="0"/>
        <item t="default"/>
      </items>
    </pivotField>
    <pivotField showAll="0">
      <items count="7">
        <item x="0"/>
        <item x="3"/>
        <item x="5"/>
        <item x="1"/>
        <item x="2"/>
        <item x="4"/>
        <item t="default"/>
      </items>
    </pivotField>
    <pivotField showAll="0">
      <items count="7">
        <item x="2"/>
        <item x="3"/>
        <item x="1"/>
        <item x="0"/>
        <item x="4"/>
        <item x="5"/>
        <item t="default"/>
      </items>
    </pivotField>
    <pivotField showAll="0"/>
    <pivotField showAll="0"/>
    <pivotField showAll="0"/>
    <pivotField axis="axisRow" showAll="0">
      <items count="28">
        <item x="21"/>
        <item x="6"/>
        <item x="22"/>
        <item x="17"/>
        <item x="13"/>
        <item x="9"/>
        <item x="14"/>
        <item x="5"/>
        <item x="12"/>
        <item x="2"/>
        <item x="20"/>
        <item x="15"/>
        <item x="0"/>
        <item x="3"/>
        <item x="24"/>
        <item x="8"/>
        <item x="1"/>
        <item x="25"/>
        <item x="19"/>
        <item x="18"/>
        <item x="23"/>
        <item x="7"/>
        <item x="16"/>
        <item x="4"/>
        <item x="26"/>
        <item x="10"/>
        <item x="11"/>
        <item t="default"/>
      </items>
    </pivotField>
    <pivotField showAll="0"/>
    <pivotField showAll="0">
      <items count="3">
        <item x="0"/>
        <item x="1"/>
        <item t="default"/>
      </items>
    </pivotField>
    <pivotField showAll="0"/>
  </pivotFields>
  <rowFields count="1">
    <field x="9"/>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Count of Patient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056F3-8CEF-4C6B-B513-C99EED6B0E3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0:B27" firstHeaderRow="1" firstDataRow="1" firstDataCol="1"/>
  <pivotFields count="13">
    <pivotField showAll="0"/>
    <pivotField showAll="0"/>
    <pivotField showAll="0"/>
    <pivotField showAll="0">
      <items count="3">
        <item x="1"/>
        <item x="0"/>
        <item t="default"/>
      </items>
    </pivotField>
    <pivotField axis="axisRow" showAll="0">
      <items count="7">
        <item x="0"/>
        <item x="3"/>
        <item x="5"/>
        <item x="1"/>
        <item x="2"/>
        <item x="4"/>
        <item t="default"/>
      </items>
    </pivotField>
    <pivotField showAll="0">
      <items count="7">
        <item x="2"/>
        <item x="3"/>
        <item x="1"/>
        <item x="0"/>
        <item x="4"/>
        <item x="5"/>
        <item t="default"/>
      </items>
    </pivotField>
    <pivotField showAll="0"/>
    <pivotField showAll="0"/>
    <pivotField showAll="0"/>
    <pivotField showAll="0"/>
    <pivotField dataField="1" showAll="0"/>
    <pivotField showAll="0">
      <items count="3">
        <item x="0"/>
        <item x="1"/>
        <item t="default"/>
      </items>
    </pivotField>
    <pivotField showAll="0"/>
  </pivotFields>
  <rowFields count="1">
    <field x="4"/>
  </rowFields>
  <rowItems count="7">
    <i>
      <x/>
    </i>
    <i>
      <x v="1"/>
    </i>
    <i>
      <x v="2"/>
    </i>
    <i>
      <x v="3"/>
    </i>
    <i>
      <x v="4"/>
    </i>
    <i>
      <x v="5"/>
    </i>
    <i t="grand">
      <x/>
    </i>
  </rowItems>
  <colItems count="1">
    <i/>
  </colItems>
  <dataFields count="1">
    <dataField name="Sum of TreatmentCost" fld="10"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F52565-392C-4CB6-8016-E0E1DAC95A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8" firstHeaderRow="1" firstDataRow="1" firstDataCol="1"/>
  <pivotFields count="13">
    <pivotField showAll="0"/>
    <pivotField showAll="0"/>
    <pivotField showAll="0"/>
    <pivotField showAll="0">
      <items count="3">
        <item x="1"/>
        <item x="0"/>
        <item t="default"/>
      </items>
    </pivotField>
    <pivotField axis="axisRow" showAll="0">
      <items count="7">
        <item x="0"/>
        <item x="3"/>
        <item x="5"/>
        <item x="1"/>
        <item x="2"/>
        <item x="4"/>
        <item t="default"/>
      </items>
    </pivotField>
    <pivotField showAll="0">
      <items count="7">
        <item x="2"/>
        <item x="3"/>
        <item x="1"/>
        <item x="0"/>
        <item x="4"/>
        <item x="5"/>
        <item t="default"/>
      </items>
    </pivotField>
    <pivotField showAll="0"/>
    <pivotField showAll="0"/>
    <pivotField showAll="0"/>
    <pivotField showAll="0"/>
    <pivotField dataField="1" showAll="0"/>
    <pivotField showAll="0">
      <items count="3">
        <item x="0"/>
        <item x="1"/>
        <item t="default"/>
      </items>
    </pivotField>
    <pivotField showAll="0"/>
  </pivotFields>
  <rowFields count="1">
    <field x="4"/>
  </rowFields>
  <rowItems count="7">
    <i>
      <x/>
    </i>
    <i>
      <x v="1"/>
    </i>
    <i>
      <x v="2"/>
    </i>
    <i>
      <x v="3"/>
    </i>
    <i>
      <x v="4"/>
    </i>
    <i>
      <x v="5"/>
    </i>
    <i t="grand">
      <x/>
    </i>
  </rowItems>
  <colItems count="1">
    <i/>
  </colItems>
  <dataFields count="1">
    <dataField name="Average of TreatmentCost" fld="10"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CBD597-5091-426B-8028-316B71B105E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11:G14" firstHeaderRow="1" firstDataRow="1" firstDataCol="1"/>
  <pivotFields count="13">
    <pivotField dataField="1" showAll="0"/>
    <pivotField showAll="0"/>
    <pivotField showAll="0"/>
    <pivotField showAll="0">
      <items count="3">
        <item x="1"/>
        <item x="0"/>
        <item t="default"/>
      </items>
    </pivotField>
    <pivotField showAll="0">
      <items count="7">
        <item x="0"/>
        <item x="3"/>
        <item x="5"/>
        <item x="1"/>
        <item x="2"/>
        <item x="4"/>
        <item t="default"/>
      </items>
    </pivotField>
    <pivotField showAll="0">
      <items count="7">
        <item x="2"/>
        <item x="3"/>
        <item x="1"/>
        <item x="0"/>
        <item x="4"/>
        <item x="5"/>
        <item t="default"/>
      </items>
    </pivotField>
    <pivotField showAll="0"/>
    <pivotField showAll="0"/>
    <pivotField showAll="0"/>
    <pivotField showAll="0"/>
    <pivotField showAll="0"/>
    <pivotField axis="axisRow" showAll="0">
      <items count="3">
        <item x="0"/>
        <item x="1"/>
        <item t="default"/>
      </items>
    </pivotField>
    <pivotField showAll="0"/>
  </pivotFields>
  <rowFields count="1">
    <field x="11"/>
  </rowFields>
  <rowItems count="3">
    <i>
      <x/>
    </i>
    <i>
      <x v="1"/>
    </i>
    <i t="grand">
      <x/>
    </i>
  </rowItems>
  <colItems count="1">
    <i/>
  </colItems>
  <dataFields count="1">
    <dataField name="Count of PatientID" fld="0" subtotal="count" baseField="0" baseItem="0"/>
  </dataFields>
  <chartFormats count="6">
    <chartFormat chart="2"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1" count="1" selected="0">
            <x v="0"/>
          </reference>
        </references>
      </pivotArea>
    </chartFormat>
    <chartFormat chart="9" format="6">
      <pivotArea type="data" outline="0" fieldPosition="0">
        <references count="2">
          <reference field="4294967294" count="1" selected="0">
            <x v="0"/>
          </reference>
          <reference field="11" count="1" selected="0">
            <x v="1"/>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EF2733-AEF5-4BC4-B77E-CBB81F5C61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3">
    <pivotField dataField="1" showAll="0"/>
    <pivotField showAll="0"/>
    <pivotField showAll="0"/>
    <pivotField showAll="0">
      <items count="3">
        <item x="1"/>
        <item x="0"/>
        <item t="default"/>
      </items>
    </pivotField>
    <pivotField showAll="0">
      <items count="7">
        <item x="0"/>
        <item x="3"/>
        <item x="5"/>
        <item x="1"/>
        <item x="2"/>
        <item x="4"/>
        <item t="default"/>
      </items>
    </pivotField>
    <pivotField showAll="0">
      <items count="7">
        <item x="2"/>
        <item x="3"/>
        <item x="1"/>
        <item x="0"/>
        <item x="4"/>
        <item x="5"/>
        <item t="default"/>
      </items>
    </pivotField>
    <pivotField showAll="0"/>
    <pivotField showAll="0"/>
    <pivotField showAll="0"/>
    <pivotField showAll="0"/>
    <pivotField showAll="0"/>
    <pivotField showAll="0">
      <items count="3">
        <item x="0"/>
        <item x="1"/>
        <item t="default"/>
      </items>
    </pivotField>
    <pivotField showAll="0"/>
  </pivotFields>
  <rowItems count="1">
    <i/>
  </rowItems>
  <colItems count="1">
    <i/>
  </colItems>
  <dataFields count="1">
    <dataField name="Total Pati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2FF5C4-3AB3-48AA-BCF3-7AFF82A053A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K10:L41" firstHeaderRow="1" firstDataRow="1" firstDataCol="1"/>
  <pivotFields count="13">
    <pivotField dataField="1" showAll="0"/>
    <pivotField showAll="0"/>
    <pivotField showAll="0"/>
    <pivotField showAll="0">
      <items count="3">
        <item x="1"/>
        <item x="0"/>
        <item t="default"/>
      </items>
    </pivotField>
    <pivotField showAll="0">
      <items count="7">
        <item x="0"/>
        <item x="3"/>
        <item x="5"/>
        <item x="1"/>
        <item x="2"/>
        <item x="4"/>
        <item t="default"/>
      </items>
    </pivotField>
    <pivotField showAll="0">
      <items count="7">
        <item x="2"/>
        <item x="3"/>
        <item x="1"/>
        <item x="0"/>
        <item x="4"/>
        <item x="5"/>
        <item t="default"/>
      </items>
    </pivotField>
    <pivotField axis="axisRow" showAll="0">
      <items count="31">
        <item x="17"/>
        <item x="0"/>
        <item x="18"/>
        <item x="1"/>
        <item x="19"/>
        <item x="20"/>
        <item x="2"/>
        <item x="21"/>
        <item x="3"/>
        <item x="22"/>
        <item x="23"/>
        <item x="4"/>
        <item x="24"/>
        <item x="25"/>
        <item x="5"/>
        <item x="26"/>
        <item x="27"/>
        <item x="6"/>
        <item x="28"/>
        <item x="7"/>
        <item x="29"/>
        <item x="8"/>
        <item x="9"/>
        <item x="10"/>
        <item x="11"/>
        <item x="12"/>
        <item x="13"/>
        <item x="14"/>
        <item x="15"/>
        <item x="16"/>
        <item t="default"/>
      </items>
    </pivotField>
    <pivotField showAll="0"/>
    <pivotField showAll="0"/>
    <pivotField showAll="0"/>
    <pivotField showAll="0"/>
    <pivotField showAll="0">
      <items count="3">
        <item x="0"/>
        <item x="1"/>
        <item t="default"/>
      </items>
    </pivotField>
    <pivotField showAll="0"/>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ID" fld="0" subtotal="count" baseField="0" baseItem="0"/>
  </dataFields>
  <chartFormats count="2">
    <chartFormat chart="17"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E4A960-AD51-4E31-8FC5-82C88D5853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13">
    <pivotField showAll="0"/>
    <pivotField showAll="0"/>
    <pivotField showAll="0"/>
    <pivotField showAll="0">
      <items count="3">
        <item x="1"/>
        <item x="0"/>
        <item t="default"/>
      </items>
    </pivotField>
    <pivotField showAll="0">
      <items count="7">
        <item x="0"/>
        <item x="3"/>
        <item x="5"/>
        <item x="1"/>
        <item x="2"/>
        <item x="4"/>
        <item t="default"/>
      </items>
    </pivotField>
    <pivotField showAll="0">
      <items count="7">
        <item x="2"/>
        <item x="3"/>
        <item x="1"/>
        <item x="0"/>
        <item x="4"/>
        <item x="5"/>
        <item t="default"/>
      </items>
    </pivotField>
    <pivotField showAll="0"/>
    <pivotField showAll="0"/>
    <pivotField showAll="0"/>
    <pivotField showAll="0"/>
    <pivotField dataField="1" showAll="0"/>
    <pivotField showAll="0">
      <items count="3">
        <item x="0"/>
        <item x="1"/>
        <item t="default"/>
      </items>
    </pivotField>
    <pivotField showAll="0"/>
  </pivotFields>
  <rowItems count="1">
    <i/>
  </rowItems>
  <colItems count="1">
    <i/>
  </colItems>
  <dataFields count="1">
    <dataField name="Sum of Treatment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95CBD9-BBA9-4871-8BED-C7C566BA8C1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1:B18" firstHeaderRow="1" firstDataRow="1" firstDataCol="1"/>
  <pivotFields count="13">
    <pivotField dataField="1" showAll="0"/>
    <pivotField showAll="0"/>
    <pivotField showAll="0"/>
    <pivotField showAll="0">
      <items count="3">
        <item x="1"/>
        <item x="0"/>
        <item t="default"/>
      </items>
    </pivotField>
    <pivotField axis="axisRow" showAll="0">
      <items count="7">
        <item x="0"/>
        <item x="3"/>
        <item x="5"/>
        <item x="1"/>
        <item x="2"/>
        <item x="4"/>
        <item t="default"/>
      </items>
    </pivotField>
    <pivotField showAll="0">
      <items count="7">
        <item x="2"/>
        <item x="3"/>
        <item x="1"/>
        <item x="0"/>
        <item x="4"/>
        <item x="5"/>
        <item t="default"/>
      </items>
    </pivotField>
    <pivotField showAll="0"/>
    <pivotField showAll="0"/>
    <pivotField showAll="0"/>
    <pivotField showAll="0"/>
    <pivotField showAll="0"/>
    <pivotField showAll="0">
      <items count="3">
        <item x="0"/>
        <item x="1"/>
        <item t="default"/>
      </items>
    </pivotField>
    <pivotField showAll="0"/>
  </pivotFields>
  <rowFields count="1">
    <field x="4"/>
  </rowFields>
  <rowItems count="7">
    <i>
      <x/>
    </i>
    <i>
      <x v="1"/>
    </i>
    <i>
      <x v="2"/>
    </i>
    <i>
      <x v="3"/>
    </i>
    <i>
      <x v="4"/>
    </i>
    <i>
      <x v="5"/>
    </i>
    <i t="grand">
      <x/>
    </i>
  </rowItems>
  <colItems count="1">
    <i/>
  </colItems>
  <dataFields count="1">
    <dataField name="count of patientID" fld="0" subtotal="count" baseField="4" baseItem="0"/>
  </dataFields>
  <chartFormats count="2">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CF29D6-DBC2-4736-B0AB-113D920BFA7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8" firstHeaderRow="1" firstDataRow="1" firstDataCol="1"/>
  <pivotFields count="13">
    <pivotField showAll="0"/>
    <pivotField showAll="0"/>
    <pivotField showAll="0"/>
    <pivotField showAll="0">
      <items count="3">
        <item x="1"/>
        <item x="0"/>
        <item t="default"/>
      </items>
    </pivotField>
    <pivotField showAll="0">
      <items count="7">
        <item x="0"/>
        <item x="3"/>
        <item x="5"/>
        <item x="1"/>
        <item x="2"/>
        <item x="4"/>
        <item t="default"/>
      </items>
    </pivotField>
    <pivotField axis="axisRow" showAll="0">
      <items count="7">
        <item x="2"/>
        <item x="3"/>
        <item x="1"/>
        <item x="0"/>
        <item x="4"/>
        <item x="5"/>
        <item t="default"/>
      </items>
    </pivotField>
    <pivotField showAll="0"/>
    <pivotField showAll="0"/>
    <pivotField showAll="0"/>
    <pivotField showAll="0"/>
    <pivotField showAll="0"/>
    <pivotField showAll="0">
      <items count="3">
        <item x="0"/>
        <item x="1"/>
        <item t="default"/>
      </items>
    </pivotField>
    <pivotField dataField="1" showAll="0"/>
  </pivotFields>
  <rowFields count="1">
    <field x="5"/>
  </rowFields>
  <rowItems count="7">
    <i>
      <x/>
    </i>
    <i>
      <x v="1"/>
    </i>
    <i>
      <x v="2"/>
    </i>
    <i>
      <x v="3"/>
    </i>
    <i>
      <x v="4"/>
    </i>
    <i>
      <x v="5"/>
    </i>
    <i t="grand">
      <x/>
    </i>
  </rowItems>
  <colItems count="1">
    <i/>
  </colItems>
  <dataFields count="1">
    <dataField name="Average of stay days" fld="12"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F64774-F75D-43F9-82A5-96ED87D554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rowPageCount="1" colPageCount="1"/>
  <pivotFields count="13">
    <pivotField showAll="0"/>
    <pivotField showAll="0"/>
    <pivotField showAll="0"/>
    <pivotField showAll="0">
      <items count="3">
        <item x="1"/>
        <item x="0"/>
        <item t="default"/>
      </items>
    </pivotField>
    <pivotField showAll="0">
      <items count="7">
        <item x="0"/>
        <item x="3"/>
        <item x="5"/>
        <item x="1"/>
        <item x="2"/>
        <item x="4"/>
        <item t="default"/>
      </items>
    </pivotField>
    <pivotField showAll="0">
      <items count="7">
        <item x="2"/>
        <item x="3"/>
        <item x="1"/>
        <item x="0"/>
        <item x="4"/>
        <item x="5"/>
        <item t="default"/>
      </items>
    </pivotField>
    <pivotField showAll="0"/>
    <pivotField showAll="0"/>
    <pivotField showAll="0"/>
    <pivotField showAll="0"/>
    <pivotField dataField="1" showAll="0"/>
    <pivotField axis="axisPage" showAll="0">
      <items count="3">
        <item x="0"/>
        <item x="1"/>
        <item t="default"/>
      </items>
    </pivotField>
    <pivotField showAll="0"/>
  </pivotFields>
  <rowItems count="1">
    <i/>
  </rowItems>
  <colItems count="1">
    <i/>
  </colItems>
  <pageFields count="1">
    <pageField fld="11" hier="-1"/>
  </pageFields>
  <dataFields count="1">
    <dataField name="Pending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E3CC31-8769-4BBA-B527-55A3F0C13BA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7:G24" firstHeaderRow="1" firstDataRow="1" firstDataCol="1"/>
  <pivotFields count="13">
    <pivotField dataField="1" showAll="0"/>
    <pivotField showAll="0"/>
    <pivotField showAll="0"/>
    <pivotField showAll="0">
      <items count="3">
        <item x="1"/>
        <item x="0"/>
        <item t="default"/>
      </items>
    </pivotField>
    <pivotField showAll="0">
      <items count="7">
        <item x="0"/>
        <item x="3"/>
        <item x="5"/>
        <item x="1"/>
        <item x="2"/>
        <item x="4"/>
        <item t="default"/>
      </items>
    </pivotField>
    <pivotField axis="axisRow" showAll="0">
      <items count="7">
        <item x="2"/>
        <item x="3"/>
        <item x="1"/>
        <item x="0"/>
        <item x="4"/>
        <item x="5"/>
        <item t="default"/>
      </items>
    </pivotField>
    <pivotField showAll="0"/>
    <pivotField showAll="0"/>
    <pivotField showAll="0"/>
    <pivotField showAll="0"/>
    <pivotField showAll="0"/>
    <pivotField showAll="0">
      <items count="3">
        <item x="0"/>
        <item x="1"/>
        <item t="default"/>
      </items>
    </pivotField>
    <pivotField showAll="0"/>
  </pivotFields>
  <rowFields count="1">
    <field x="5"/>
  </rowFields>
  <rowItems count="7">
    <i>
      <x/>
    </i>
    <i>
      <x v="1"/>
    </i>
    <i>
      <x v="2"/>
    </i>
    <i>
      <x v="3"/>
    </i>
    <i>
      <x v="4"/>
    </i>
    <i>
      <x v="5"/>
    </i>
    <i t="grand">
      <x/>
    </i>
  </rowItems>
  <colItems count="1">
    <i/>
  </colItems>
  <dataFields count="1">
    <dataField name="Count of Patient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DB78B12-0C9C-414E-8BA3-C3AFDD086F83}" sourceName="Gender">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8"/>
  </pivotTables>
  <data>
    <tabular pivotCacheId="12373340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C9C2AB2-CB2D-4BB2-9BCB-04883ABFE066}" sourceName="Department">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8"/>
  </pivotTables>
  <data>
    <tabular pivotCacheId="123733402">
      <items count="6">
        <i x="0" s="1"/>
        <i x="3" s="1"/>
        <i x="5"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62375060-54A6-47FB-B331-906FBC5706EA}" sourceName="Doctor">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8"/>
  </pivotTables>
  <data>
    <tabular pivotCacheId="123733402">
      <items count="6">
        <i x="2" s="1"/>
        <i x="3" s="1"/>
        <i x="1" s="1"/>
        <i x="0"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Status" xr10:uid="{43E5F536-49D0-43E6-9D94-36546A08E93B}" sourceName="PaymentStatus">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8"/>
  </pivotTables>
  <data>
    <tabular pivotCacheId="12373340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46BD32B-42D1-4123-9319-BF48AF78C155}" cache="Slicer_Gender" caption="Gender" rowHeight="247650"/>
  <slicer name="Department" xr10:uid="{97600D8C-61FF-42A8-A005-3341E444AD9E}" cache="Slicer_Department" caption="Department" rowHeight="247650"/>
  <slicer name="Doctor" xr10:uid="{2107209E-E172-42B5-9539-A852337B7717}" cache="Slicer_Doctor" caption="Doctor" rowHeight="247650"/>
  <slicer name="PaymentStatus" xr10:uid="{09BD1BF0-85EE-4BF3-9278-8177E879F957}" cache="Slicer_PaymentStatus" caption="Payment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E1212F4-CC1C-4F74-A847-99FF7FE293E6}" cache="Slicer_Gender" caption="Gender" style="SlicerStyleDark1" rowHeight="247650"/>
  <slicer name="Department 1" xr10:uid="{FCAFB7D8-F462-4078-BD93-16A51B1F0504}" cache="Slicer_Department" caption="Department" startItem="2" style="SlicerStyleDark1" rowHeight="247650"/>
  <slicer name="Doctor 1" xr10:uid="{42BD5CFA-1DB3-4F76-9EF9-0756685526F4}" cache="Slicer_Doctor" caption="Doctor" style="SlicerStyleDark1" rowHeight="247650"/>
  <slicer name="PaymentStatus 1" xr10:uid="{258C3D8A-2286-45EE-A64F-07B4F8C13700}" cache="Slicer_PaymentStatus" caption="PaymentStatus"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C143A6-5E0B-4D71-8BA9-5AC9D4117169}" name="Table1" displayName="Table1" ref="A1:M31" totalsRowShown="0" headerRowDxfId="3" headerRowBorderDxfId="2" tableBorderDxfId="1">
  <autoFilter ref="A1:M31" xr:uid="{23C143A6-5E0B-4D71-8BA9-5AC9D4117169}"/>
  <tableColumns count="13">
    <tableColumn id="1" xr3:uid="{6252B59B-675F-45E9-B418-D4C4A20F4072}" name="PatientID"/>
    <tableColumn id="2" xr3:uid="{DB9A4B2D-F84A-401F-81DE-D662344F5DB3}" name="Name"/>
    <tableColumn id="3" xr3:uid="{6F64EF0B-3A71-49A9-83CE-6EB81AD7B76F}" name="Age"/>
    <tableColumn id="4" xr3:uid="{F662B770-6BD6-44A3-8B18-3ABB5A1DA8D1}" name="Gender"/>
    <tableColumn id="5" xr3:uid="{D5A9F9D6-9F78-4325-B7DB-85A3CCA970F1}" name="Department"/>
    <tableColumn id="6" xr3:uid="{630EF21F-179D-4438-9D92-05E9FA223029}" name="Doctor"/>
    <tableColumn id="7" xr3:uid="{C91F7FA1-470A-4008-B75D-50C8A2DB3878}" name="AdmissionDate"/>
    <tableColumn id="8" xr3:uid="{D44CDAD8-B777-46EC-9589-48E52A6426BD}" name="DischargeDate"/>
    <tableColumn id="9" xr3:uid="{AB900E39-3227-40B9-B4F3-6F64B23FFC72}" name="RoomNo"/>
    <tableColumn id="10" xr3:uid="{53565B65-AC1F-4D3A-BF25-CA2C9CC9EC79}" name="Diagnosis"/>
    <tableColumn id="11" xr3:uid="{EE16316B-624C-4272-9183-BC651D8E604D}" name="TreatmentCost"/>
    <tableColumn id="12" xr3:uid="{A2B1446D-1CB6-407E-B932-4FA9CA29D8AB}" name="PaymentStatus"/>
    <tableColumn id="13" xr3:uid="{E263F140-18C2-447F-86D6-3B3605096107}" name="stay days" dataDxfId="0">
      <calculatedColumnFormula>DATEDIF(Table1[[#This Row],[AdmissionDate]],Table1[[#This Row],[DischargeDate]],"d")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7FB5C-B640-4693-B723-86E211495667}">
  <dimension ref="A1:M31"/>
  <sheetViews>
    <sheetView zoomScale="70" zoomScaleNormal="70" workbookViewId="0">
      <selection activeCell="P3" sqref="P3"/>
    </sheetView>
  </sheetViews>
  <sheetFormatPr defaultRowHeight="14.4" x14ac:dyDescent="0.3"/>
  <cols>
    <col min="1" max="1" width="10.6640625" customWidth="1"/>
    <col min="4" max="4" width="9" customWidth="1"/>
    <col min="5" max="5" width="12.88671875" customWidth="1"/>
    <col min="7" max="7" width="15.5546875" customWidth="1"/>
    <col min="8" max="8" width="15" customWidth="1"/>
    <col min="9" max="9" width="10" customWidth="1"/>
    <col min="10" max="10" width="10.88671875" customWidth="1"/>
    <col min="11" max="11" width="15.21875" customWidth="1"/>
    <col min="12" max="12" width="15.5546875" customWidth="1"/>
    <col min="13" max="13" width="16.332031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166</v>
      </c>
    </row>
    <row r="2" spans="1:13" x14ac:dyDescent="0.3">
      <c r="A2" t="s">
        <v>12</v>
      </c>
      <c r="B2" t="s">
        <v>13</v>
      </c>
      <c r="C2">
        <v>45</v>
      </c>
      <c r="D2" t="s">
        <v>14</v>
      </c>
      <c r="E2" t="s">
        <v>15</v>
      </c>
      <c r="F2" t="s">
        <v>16</v>
      </c>
      <c r="G2" t="s">
        <v>17</v>
      </c>
      <c r="H2" t="s">
        <v>18</v>
      </c>
      <c r="I2">
        <v>101</v>
      </c>
      <c r="J2" t="s">
        <v>19</v>
      </c>
      <c r="K2">
        <v>45000</v>
      </c>
      <c r="L2" t="s">
        <v>20</v>
      </c>
      <c r="M2">
        <f>DATEDIF(Table1[[#This Row],[AdmissionDate]],Table1[[#This Row],[DischargeDate]],"d")</f>
        <v>4</v>
      </c>
    </row>
    <row r="3" spans="1:13" x14ac:dyDescent="0.3">
      <c r="A3" t="s">
        <v>21</v>
      </c>
      <c r="B3" t="s">
        <v>22</v>
      </c>
      <c r="C3">
        <v>32</v>
      </c>
      <c r="D3" t="s">
        <v>23</v>
      </c>
      <c r="E3" t="s">
        <v>24</v>
      </c>
      <c r="F3" t="s">
        <v>25</v>
      </c>
      <c r="G3" t="s">
        <v>26</v>
      </c>
      <c r="H3" t="s">
        <v>27</v>
      </c>
      <c r="I3">
        <v>102</v>
      </c>
      <c r="J3" t="s">
        <v>28</v>
      </c>
      <c r="K3">
        <v>22000</v>
      </c>
      <c r="L3" t="s">
        <v>29</v>
      </c>
      <c r="M3">
        <f>DATEDIF(Table1[[#This Row],[AdmissionDate]],Table1[[#This Row],[DischargeDate]],"d")</f>
        <v>7</v>
      </c>
    </row>
    <row r="4" spans="1:13" x14ac:dyDescent="0.3">
      <c r="A4" t="s">
        <v>30</v>
      </c>
      <c r="B4" t="s">
        <v>31</v>
      </c>
      <c r="C4">
        <v>28</v>
      </c>
      <c r="D4" t="s">
        <v>14</v>
      </c>
      <c r="E4" t="s">
        <v>32</v>
      </c>
      <c r="F4" t="s">
        <v>33</v>
      </c>
      <c r="G4" t="s">
        <v>18</v>
      </c>
      <c r="H4" t="s">
        <v>34</v>
      </c>
      <c r="I4">
        <v>103</v>
      </c>
      <c r="J4" t="s">
        <v>35</v>
      </c>
      <c r="K4">
        <v>30000</v>
      </c>
      <c r="L4" t="s">
        <v>20</v>
      </c>
      <c r="M4">
        <f>DATEDIF(Table1[[#This Row],[AdmissionDate]],Table1[[#This Row],[DischargeDate]],"d")</f>
        <v>7</v>
      </c>
    </row>
    <row r="5" spans="1:13" x14ac:dyDescent="0.3">
      <c r="A5" t="s">
        <v>36</v>
      </c>
      <c r="B5" t="s">
        <v>37</v>
      </c>
      <c r="C5">
        <v>50</v>
      </c>
      <c r="D5" t="s">
        <v>23</v>
      </c>
      <c r="E5" t="s">
        <v>15</v>
      </c>
      <c r="F5" t="s">
        <v>16</v>
      </c>
      <c r="G5" t="s">
        <v>38</v>
      </c>
      <c r="H5" t="s">
        <v>39</v>
      </c>
      <c r="I5">
        <v>104</v>
      </c>
      <c r="J5" t="s">
        <v>40</v>
      </c>
      <c r="K5">
        <v>18000</v>
      </c>
      <c r="L5" t="s">
        <v>20</v>
      </c>
      <c r="M5">
        <f>DATEDIF(Table1[[#This Row],[AdmissionDate]],Table1[[#This Row],[DischargeDate]],"d")</f>
        <v>8</v>
      </c>
    </row>
    <row r="6" spans="1:13" x14ac:dyDescent="0.3">
      <c r="A6" t="s">
        <v>41</v>
      </c>
      <c r="B6" t="s">
        <v>42</v>
      </c>
      <c r="C6">
        <v>39</v>
      </c>
      <c r="D6" t="s">
        <v>14</v>
      </c>
      <c r="E6" t="s">
        <v>43</v>
      </c>
      <c r="F6" t="s">
        <v>44</v>
      </c>
      <c r="G6" t="s">
        <v>45</v>
      </c>
      <c r="H6" t="s">
        <v>27</v>
      </c>
      <c r="I6">
        <v>105</v>
      </c>
      <c r="J6" t="s">
        <v>46</v>
      </c>
      <c r="K6">
        <v>12000</v>
      </c>
      <c r="L6" t="s">
        <v>29</v>
      </c>
      <c r="M6">
        <f>DATEDIF(Table1[[#This Row],[AdmissionDate]],Table1[[#This Row],[DischargeDate]],"d")</f>
        <v>2</v>
      </c>
    </row>
    <row r="7" spans="1:13" x14ac:dyDescent="0.3">
      <c r="A7" t="s">
        <v>47</v>
      </c>
      <c r="B7" t="s">
        <v>48</v>
      </c>
      <c r="C7">
        <v>26</v>
      </c>
      <c r="D7" t="s">
        <v>23</v>
      </c>
      <c r="E7" t="s">
        <v>49</v>
      </c>
      <c r="F7" t="s">
        <v>50</v>
      </c>
      <c r="G7" t="s">
        <v>27</v>
      </c>
      <c r="H7" t="s">
        <v>51</v>
      </c>
      <c r="I7">
        <v>106</v>
      </c>
      <c r="J7" t="s">
        <v>52</v>
      </c>
      <c r="K7">
        <v>8000</v>
      </c>
      <c r="L7" t="s">
        <v>20</v>
      </c>
      <c r="M7">
        <f>DATEDIF(Table1[[#This Row],[AdmissionDate]],Table1[[#This Row],[DischargeDate]],"d")</f>
        <v>3</v>
      </c>
    </row>
    <row r="8" spans="1:13" x14ac:dyDescent="0.3">
      <c r="A8" t="s">
        <v>53</v>
      </c>
      <c r="B8" t="s">
        <v>54</v>
      </c>
      <c r="C8">
        <v>60</v>
      </c>
      <c r="D8" t="s">
        <v>14</v>
      </c>
      <c r="E8" t="s">
        <v>15</v>
      </c>
      <c r="F8" t="s">
        <v>16</v>
      </c>
      <c r="G8" t="s">
        <v>34</v>
      </c>
      <c r="H8" t="s">
        <v>55</v>
      </c>
      <c r="I8">
        <v>107</v>
      </c>
      <c r="J8" t="s">
        <v>56</v>
      </c>
      <c r="K8">
        <v>50000</v>
      </c>
      <c r="L8" t="s">
        <v>20</v>
      </c>
      <c r="M8">
        <f>DATEDIF(Table1[[#This Row],[AdmissionDate]],Table1[[#This Row],[DischargeDate]],"d")</f>
        <v>8</v>
      </c>
    </row>
    <row r="9" spans="1:13" x14ac:dyDescent="0.3">
      <c r="A9" t="s">
        <v>57</v>
      </c>
      <c r="B9" t="s">
        <v>58</v>
      </c>
      <c r="C9">
        <v>34</v>
      </c>
      <c r="D9" t="s">
        <v>23</v>
      </c>
      <c r="E9" t="s">
        <v>59</v>
      </c>
      <c r="F9" t="s">
        <v>60</v>
      </c>
      <c r="G9" t="s">
        <v>51</v>
      </c>
      <c r="H9" t="s">
        <v>61</v>
      </c>
      <c r="I9">
        <v>108</v>
      </c>
      <c r="J9" t="s">
        <v>62</v>
      </c>
      <c r="K9">
        <v>35000</v>
      </c>
      <c r="L9" t="s">
        <v>20</v>
      </c>
      <c r="M9">
        <f>DATEDIF(Table1[[#This Row],[AdmissionDate]],Table1[[#This Row],[DischargeDate]],"d")</f>
        <v>5</v>
      </c>
    </row>
    <row r="10" spans="1:13" x14ac:dyDescent="0.3">
      <c r="A10" t="s">
        <v>63</v>
      </c>
      <c r="B10" t="s">
        <v>64</v>
      </c>
      <c r="C10">
        <v>41</v>
      </c>
      <c r="D10" t="s">
        <v>14</v>
      </c>
      <c r="E10" t="s">
        <v>32</v>
      </c>
      <c r="F10" t="s">
        <v>33</v>
      </c>
      <c r="G10" t="s">
        <v>65</v>
      </c>
      <c r="H10" t="s">
        <v>66</v>
      </c>
      <c r="I10">
        <v>109</v>
      </c>
      <c r="J10" t="s">
        <v>67</v>
      </c>
      <c r="K10">
        <v>25000</v>
      </c>
      <c r="L10" t="s">
        <v>29</v>
      </c>
      <c r="M10">
        <f>DATEDIF(Table1[[#This Row],[AdmissionDate]],Table1[[#This Row],[DischargeDate]],"d")</f>
        <v>7</v>
      </c>
    </row>
    <row r="11" spans="1:13" x14ac:dyDescent="0.3">
      <c r="A11" t="s">
        <v>68</v>
      </c>
      <c r="B11" t="s">
        <v>69</v>
      </c>
      <c r="C11">
        <v>37</v>
      </c>
      <c r="D11" t="s">
        <v>23</v>
      </c>
      <c r="E11" t="s">
        <v>24</v>
      </c>
      <c r="F11" t="s">
        <v>25</v>
      </c>
      <c r="G11" t="s">
        <v>70</v>
      </c>
      <c r="H11" t="s">
        <v>71</v>
      </c>
      <c r="I11">
        <v>110</v>
      </c>
      <c r="J11" t="s">
        <v>28</v>
      </c>
      <c r="K11">
        <v>23000</v>
      </c>
      <c r="L11" t="s">
        <v>20</v>
      </c>
      <c r="M11">
        <f>DATEDIF(Table1[[#This Row],[AdmissionDate]],Table1[[#This Row],[DischargeDate]],"d")</f>
        <v>8</v>
      </c>
    </row>
    <row r="12" spans="1:13" x14ac:dyDescent="0.3">
      <c r="A12" t="s">
        <v>72</v>
      </c>
      <c r="B12" t="s">
        <v>73</v>
      </c>
      <c r="C12">
        <v>55</v>
      </c>
      <c r="D12" t="s">
        <v>14</v>
      </c>
      <c r="E12" t="s">
        <v>15</v>
      </c>
      <c r="F12" t="s">
        <v>16</v>
      </c>
      <c r="G12" t="s">
        <v>55</v>
      </c>
      <c r="H12" t="s">
        <v>74</v>
      </c>
      <c r="I12">
        <v>111</v>
      </c>
      <c r="J12" t="s">
        <v>75</v>
      </c>
      <c r="K12">
        <v>75000</v>
      </c>
      <c r="L12" t="s">
        <v>29</v>
      </c>
      <c r="M12">
        <f>DATEDIF(Table1[[#This Row],[AdmissionDate]],Table1[[#This Row],[DischargeDate]],"d")</f>
        <v>8</v>
      </c>
    </row>
    <row r="13" spans="1:13" x14ac:dyDescent="0.3">
      <c r="A13" t="s">
        <v>76</v>
      </c>
      <c r="B13" t="s">
        <v>77</v>
      </c>
      <c r="C13">
        <v>42</v>
      </c>
      <c r="D13" t="s">
        <v>23</v>
      </c>
      <c r="E13" t="s">
        <v>43</v>
      </c>
      <c r="F13" t="s">
        <v>44</v>
      </c>
      <c r="G13" t="s">
        <v>78</v>
      </c>
      <c r="H13" t="s">
        <v>79</v>
      </c>
      <c r="I13">
        <v>112</v>
      </c>
      <c r="J13" t="s">
        <v>80</v>
      </c>
      <c r="K13">
        <v>15000</v>
      </c>
      <c r="L13" t="s">
        <v>20</v>
      </c>
      <c r="M13">
        <f>DATEDIF(Table1[[#This Row],[AdmissionDate]],Table1[[#This Row],[DischargeDate]],"d")</f>
        <v>3</v>
      </c>
    </row>
    <row r="14" spans="1:13" x14ac:dyDescent="0.3">
      <c r="A14" t="s">
        <v>81</v>
      </c>
      <c r="B14" t="s">
        <v>82</v>
      </c>
      <c r="C14">
        <v>29</v>
      </c>
      <c r="D14" t="s">
        <v>14</v>
      </c>
      <c r="E14" t="s">
        <v>49</v>
      </c>
      <c r="F14" t="s">
        <v>50</v>
      </c>
      <c r="G14" t="s">
        <v>83</v>
      </c>
      <c r="H14" t="s">
        <v>84</v>
      </c>
      <c r="I14">
        <v>113</v>
      </c>
      <c r="J14" t="s">
        <v>85</v>
      </c>
      <c r="K14">
        <v>9000</v>
      </c>
      <c r="L14" t="s">
        <v>20</v>
      </c>
      <c r="M14">
        <f>DATEDIF(Table1[[#This Row],[AdmissionDate]],Table1[[#This Row],[DischargeDate]],"d")</f>
        <v>3</v>
      </c>
    </row>
    <row r="15" spans="1:13" x14ac:dyDescent="0.3">
      <c r="A15" t="s">
        <v>86</v>
      </c>
      <c r="B15" t="s">
        <v>87</v>
      </c>
      <c r="C15">
        <v>48</v>
      </c>
      <c r="D15" t="s">
        <v>23</v>
      </c>
      <c r="E15" t="s">
        <v>59</v>
      </c>
      <c r="F15" t="s">
        <v>60</v>
      </c>
      <c r="G15" t="s">
        <v>71</v>
      </c>
      <c r="H15" t="s">
        <v>88</v>
      </c>
      <c r="I15">
        <v>114</v>
      </c>
      <c r="J15" t="s">
        <v>89</v>
      </c>
      <c r="K15">
        <v>40000</v>
      </c>
      <c r="L15" t="s">
        <v>29</v>
      </c>
      <c r="M15">
        <f>DATEDIF(Table1[[#This Row],[AdmissionDate]],Table1[[#This Row],[DischargeDate]],"d")</f>
        <v>6</v>
      </c>
    </row>
    <row r="16" spans="1:13" x14ac:dyDescent="0.3">
      <c r="A16" t="s">
        <v>90</v>
      </c>
      <c r="B16" t="s">
        <v>91</v>
      </c>
      <c r="C16">
        <v>36</v>
      </c>
      <c r="D16" t="s">
        <v>14</v>
      </c>
      <c r="E16" t="s">
        <v>32</v>
      </c>
      <c r="F16" t="s">
        <v>33</v>
      </c>
      <c r="G16" t="s">
        <v>92</v>
      </c>
      <c r="H16" t="s">
        <v>93</v>
      </c>
      <c r="I16">
        <v>115</v>
      </c>
      <c r="J16" t="s">
        <v>94</v>
      </c>
      <c r="K16">
        <v>27000</v>
      </c>
      <c r="L16" t="s">
        <v>20</v>
      </c>
      <c r="M16">
        <f>DATEDIF(Table1[[#This Row],[AdmissionDate]],Table1[[#This Row],[DischargeDate]],"d")</f>
        <v>7</v>
      </c>
    </row>
    <row r="17" spans="1:13" x14ac:dyDescent="0.3">
      <c r="A17" t="s">
        <v>95</v>
      </c>
      <c r="B17" t="s">
        <v>96</v>
      </c>
      <c r="C17">
        <v>31</v>
      </c>
      <c r="D17" t="s">
        <v>23</v>
      </c>
      <c r="E17" t="s">
        <v>24</v>
      </c>
      <c r="F17" t="s">
        <v>25</v>
      </c>
      <c r="G17" t="s">
        <v>97</v>
      </c>
      <c r="H17" t="s">
        <v>98</v>
      </c>
      <c r="I17">
        <v>116</v>
      </c>
      <c r="J17" t="s">
        <v>99</v>
      </c>
      <c r="K17">
        <v>32000</v>
      </c>
      <c r="L17" t="s">
        <v>20</v>
      </c>
      <c r="M17">
        <f>DATEDIF(Table1[[#This Row],[AdmissionDate]],Table1[[#This Row],[DischargeDate]],"d")</f>
        <v>4</v>
      </c>
    </row>
    <row r="18" spans="1:13" x14ac:dyDescent="0.3">
      <c r="A18" t="s">
        <v>100</v>
      </c>
      <c r="B18" t="s">
        <v>101</v>
      </c>
      <c r="C18">
        <v>52</v>
      </c>
      <c r="D18" t="s">
        <v>14</v>
      </c>
      <c r="E18" t="s">
        <v>15</v>
      </c>
      <c r="F18" t="s">
        <v>16</v>
      </c>
      <c r="G18" t="s">
        <v>102</v>
      </c>
      <c r="H18" t="s">
        <v>103</v>
      </c>
      <c r="I18">
        <v>117</v>
      </c>
      <c r="J18" t="s">
        <v>104</v>
      </c>
      <c r="K18">
        <v>68000</v>
      </c>
      <c r="L18" t="s">
        <v>29</v>
      </c>
      <c r="M18">
        <f>DATEDIF(Table1[[#This Row],[AdmissionDate]],Table1[[#This Row],[DischargeDate]],"d")</f>
        <v>7</v>
      </c>
    </row>
    <row r="19" spans="1:13" x14ac:dyDescent="0.3">
      <c r="A19" t="s">
        <v>105</v>
      </c>
      <c r="B19" t="s">
        <v>106</v>
      </c>
      <c r="C19">
        <v>40</v>
      </c>
      <c r="D19" t="s">
        <v>23</v>
      </c>
      <c r="E19" t="s">
        <v>43</v>
      </c>
      <c r="F19" t="s">
        <v>44</v>
      </c>
      <c r="G19" t="s">
        <v>107</v>
      </c>
      <c r="H19" t="s">
        <v>108</v>
      </c>
      <c r="I19">
        <v>118</v>
      </c>
      <c r="J19" t="s">
        <v>109</v>
      </c>
      <c r="K19">
        <v>16000</v>
      </c>
      <c r="L19" t="s">
        <v>20</v>
      </c>
      <c r="M19">
        <f>DATEDIF(Table1[[#This Row],[AdmissionDate]],Table1[[#This Row],[DischargeDate]],"d")</f>
        <v>3</v>
      </c>
    </row>
    <row r="20" spans="1:13" x14ac:dyDescent="0.3">
      <c r="A20" t="s">
        <v>110</v>
      </c>
      <c r="B20" t="s">
        <v>111</v>
      </c>
      <c r="C20">
        <v>33</v>
      </c>
      <c r="D20" t="s">
        <v>14</v>
      </c>
      <c r="E20" t="s">
        <v>49</v>
      </c>
      <c r="F20" t="s">
        <v>50</v>
      </c>
      <c r="G20" t="s">
        <v>98</v>
      </c>
      <c r="H20" t="s">
        <v>112</v>
      </c>
      <c r="I20">
        <v>119</v>
      </c>
      <c r="J20" t="s">
        <v>113</v>
      </c>
      <c r="K20">
        <v>11000</v>
      </c>
      <c r="L20" t="s">
        <v>20</v>
      </c>
      <c r="M20">
        <f>DATEDIF(Table1[[#This Row],[AdmissionDate]],Table1[[#This Row],[DischargeDate]],"d")</f>
        <v>5</v>
      </c>
    </row>
    <row r="21" spans="1:13" x14ac:dyDescent="0.3">
      <c r="A21" t="s">
        <v>114</v>
      </c>
      <c r="B21" t="s">
        <v>115</v>
      </c>
      <c r="C21">
        <v>27</v>
      </c>
      <c r="D21" t="s">
        <v>23</v>
      </c>
      <c r="E21" t="s">
        <v>59</v>
      </c>
      <c r="F21" t="s">
        <v>60</v>
      </c>
      <c r="G21" t="s">
        <v>108</v>
      </c>
      <c r="H21" t="s">
        <v>116</v>
      </c>
      <c r="I21">
        <v>120</v>
      </c>
      <c r="J21" t="s">
        <v>117</v>
      </c>
      <c r="K21">
        <v>28000</v>
      </c>
      <c r="L21" t="s">
        <v>20</v>
      </c>
      <c r="M21">
        <f>DATEDIF(Table1[[#This Row],[AdmissionDate]],Table1[[#This Row],[DischargeDate]],"d")</f>
        <v>5</v>
      </c>
    </row>
    <row r="22" spans="1:13" x14ac:dyDescent="0.3">
      <c r="A22" t="s">
        <v>118</v>
      </c>
      <c r="B22" t="s">
        <v>119</v>
      </c>
      <c r="C22">
        <v>38</v>
      </c>
      <c r="D22" t="s">
        <v>14</v>
      </c>
      <c r="E22" t="s">
        <v>32</v>
      </c>
      <c r="F22" t="s">
        <v>33</v>
      </c>
      <c r="G22" t="s">
        <v>120</v>
      </c>
      <c r="H22" t="s">
        <v>121</v>
      </c>
      <c r="I22">
        <v>121</v>
      </c>
      <c r="J22" t="s">
        <v>35</v>
      </c>
      <c r="K22">
        <v>30000</v>
      </c>
      <c r="L22" t="s">
        <v>29</v>
      </c>
      <c r="M22">
        <f>DATEDIF(Table1[[#This Row],[AdmissionDate]],Table1[[#This Row],[DischargeDate]],"d")</f>
        <v>5</v>
      </c>
    </row>
    <row r="23" spans="1:13" x14ac:dyDescent="0.3">
      <c r="A23" t="s">
        <v>122</v>
      </c>
      <c r="B23" t="s">
        <v>123</v>
      </c>
      <c r="C23">
        <v>43</v>
      </c>
      <c r="D23" t="s">
        <v>23</v>
      </c>
      <c r="E23" t="s">
        <v>24</v>
      </c>
      <c r="F23" t="s">
        <v>25</v>
      </c>
      <c r="G23" t="s">
        <v>103</v>
      </c>
      <c r="H23" t="s">
        <v>124</v>
      </c>
      <c r="I23">
        <v>122</v>
      </c>
      <c r="J23" t="s">
        <v>125</v>
      </c>
      <c r="K23">
        <v>60000</v>
      </c>
      <c r="L23" t="s">
        <v>20</v>
      </c>
      <c r="M23">
        <f>DATEDIF(Table1[[#This Row],[AdmissionDate]],Table1[[#This Row],[DischargeDate]],"d")</f>
        <v>6</v>
      </c>
    </row>
    <row r="24" spans="1:13" x14ac:dyDescent="0.3">
      <c r="A24" t="s">
        <v>126</v>
      </c>
      <c r="B24" t="s">
        <v>127</v>
      </c>
      <c r="C24">
        <v>54</v>
      </c>
      <c r="D24" t="s">
        <v>14</v>
      </c>
      <c r="E24" t="s">
        <v>15</v>
      </c>
      <c r="F24" t="s">
        <v>16</v>
      </c>
      <c r="G24" t="s">
        <v>112</v>
      </c>
      <c r="H24" t="s">
        <v>128</v>
      </c>
      <c r="I24">
        <v>123</v>
      </c>
      <c r="J24" t="s">
        <v>129</v>
      </c>
      <c r="K24">
        <v>90000</v>
      </c>
      <c r="L24" t="s">
        <v>20</v>
      </c>
      <c r="M24">
        <f>DATEDIF(Table1[[#This Row],[AdmissionDate]],Table1[[#This Row],[DischargeDate]],"d")</f>
        <v>7</v>
      </c>
    </row>
    <row r="25" spans="1:13" x14ac:dyDescent="0.3">
      <c r="A25" t="s">
        <v>130</v>
      </c>
      <c r="B25" t="s">
        <v>131</v>
      </c>
      <c r="C25">
        <v>35</v>
      </c>
      <c r="D25" t="s">
        <v>23</v>
      </c>
      <c r="E25" t="s">
        <v>43</v>
      </c>
      <c r="F25" t="s">
        <v>44</v>
      </c>
      <c r="G25" t="s">
        <v>132</v>
      </c>
      <c r="H25" t="s">
        <v>133</v>
      </c>
      <c r="I25">
        <v>124</v>
      </c>
      <c r="J25" t="s">
        <v>134</v>
      </c>
      <c r="K25">
        <v>10000</v>
      </c>
      <c r="L25" t="s">
        <v>29</v>
      </c>
      <c r="M25">
        <f>DATEDIF(Table1[[#This Row],[AdmissionDate]],Table1[[#This Row],[DischargeDate]],"d")</f>
        <v>3</v>
      </c>
    </row>
    <row r="26" spans="1:13" x14ac:dyDescent="0.3">
      <c r="A26" t="s">
        <v>135</v>
      </c>
      <c r="B26" t="s">
        <v>136</v>
      </c>
      <c r="C26">
        <v>47</v>
      </c>
      <c r="D26" t="s">
        <v>14</v>
      </c>
      <c r="E26" t="s">
        <v>32</v>
      </c>
      <c r="F26" t="s">
        <v>33</v>
      </c>
      <c r="G26" t="s">
        <v>116</v>
      </c>
      <c r="H26" t="s">
        <v>137</v>
      </c>
      <c r="I26">
        <v>125</v>
      </c>
      <c r="J26" t="s">
        <v>138</v>
      </c>
      <c r="K26">
        <v>35000</v>
      </c>
      <c r="L26" t="s">
        <v>20</v>
      </c>
      <c r="M26">
        <f>DATEDIF(Table1[[#This Row],[AdmissionDate]],Table1[[#This Row],[DischargeDate]],"d")</f>
        <v>6</v>
      </c>
    </row>
    <row r="27" spans="1:13" x14ac:dyDescent="0.3">
      <c r="A27" t="s">
        <v>139</v>
      </c>
      <c r="B27" t="s">
        <v>140</v>
      </c>
      <c r="C27">
        <v>39</v>
      </c>
      <c r="D27" t="s">
        <v>23</v>
      </c>
      <c r="E27" t="s">
        <v>49</v>
      </c>
      <c r="F27" t="s">
        <v>50</v>
      </c>
      <c r="G27" t="s">
        <v>121</v>
      </c>
      <c r="H27" t="s">
        <v>141</v>
      </c>
      <c r="I27">
        <v>126</v>
      </c>
      <c r="J27" t="s">
        <v>142</v>
      </c>
      <c r="K27">
        <v>15000</v>
      </c>
      <c r="L27" t="s">
        <v>20</v>
      </c>
      <c r="M27">
        <f>DATEDIF(Table1[[#This Row],[AdmissionDate]],Table1[[#This Row],[DischargeDate]],"d")</f>
        <v>3</v>
      </c>
    </row>
    <row r="28" spans="1:13" x14ac:dyDescent="0.3">
      <c r="A28" t="s">
        <v>143</v>
      </c>
      <c r="B28" t="s">
        <v>144</v>
      </c>
      <c r="C28">
        <v>46</v>
      </c>
      <c r="D28" t="s">
        <v>14</v>
      </c>
      <c r="E28" t="s">
        <v>59</v>
      </c>
      <c r="F28" t="s">
        <v>60</v>
      </c>
      <c r="G28" t="s">
        <v>133</v>
      </c>
      <c r="H28" t="s">
        <v>145</v>
      </c>
      <c r="I28">
        <v>127</v>
      </c>
      <c r="J28" t="s">
        <v>146</v>
      </c>
      <c r="K28">
        <v>45000</v>
      </c>
      <c r="L28" t="s">
        <v>29</v>
      </c>
      <c r="M28">
        <f>DATEDIF(Table1[[#This Row],[AdmissionDate]],Table1[[#This Row],[DischargeDate]],"d")</f>
        <v>5</v>
      </c>
    </row>
    <row r="29" spans="1:13" x14ac:dyDescent="0.3">
      <c r="A29" t="s">
        <v>147</v>
      </c>
      <c r="B29" t="s">
        <v>148</v>
      </c>
      <c r="C29">
        <v>30</v>
      </c>
      <c r="D29" t="s">
        <v>23</v>
      </c>
      <c r="E29" t="s">
        <v>24</v>
      </c>
      <c r="F29" t="s">
        <v>25</v>
      </c>
      <c r="G29" t="s">
        <v>124</v>
      </c>
      <c r="H29" t="s">
        <v>149</v>
      </c>
      <c r="I29">
        <v>128</v>
      </c>
      <c r="J29" t="s">
        <v>28</v>
      </c>
      <c r="K29">
        <v>25000</v>
      </c>
      <c r="L29" t="s">
        <v>20</v>
      </c>
      <c r="M29">
        <f>DATEDIF(Table1[[#This Row],[AdmissionDate]],Table1[[#This Row],[DischargeDate]],"d")</f>
        <v>6</v>
      </c>
    </row>
    <row r="30" spans="1:13" x14ac:dyDescent="0.3">
      <c r="A30" t="s">
        <v>150</v>
      </c>
      <c r="B30" t="s">
        <v>151</v>
      </c>
      <c r="C30">
        <v>51</v>
      </c>
      <c r="D30" t="s">
        <v>14</v>
      </c>
      <c r="E30" t="s">
        <v>15</v>
      </c>
      <c r="F30" t="s">
        <v>16</v>
      </c>
      <c r="G30" t="s">
        <v>141</v>
      </c>
      <c r="H30" t="s">
        <v>152</v>
      </c>
      <c r="I30">
        <v>129</v>
      </c>
      <c r="J30" t="s">
        <v>153</v>
      </c>
      <c r="K30">
        <v>100000</v>
      </c>
      <c r="L30" t="s">
        <v>20</v>
      </c>
      <c r="M30">
        <f>DATEDIF(Table1[[#This Row],[AdmissionDate]],Table1[[#This Row],[DischargeDate]],"d")</f>
        <v>7</v>
      </c>
    </row>
    <row r="31" spans="1:13" x14ac:dyDescent="0.3">
      <c r="A31" t="s">
        <v>154</v>
      </c>
      <c r="B31" t="s">
        <v>155</v>
      </c>
      <c r="C31">
        <v>28</v>
      </c>
      <c r="D31" t="s">
        <v>23</v>
      </c>
      <c r="E31" t="s">
        <v>43</v>
      </c>
      <c r="F31" t="s">
        <v>44</v>
      </c>
      <c r="G31" t="s">
        <v>128</v>
      </c>
      <c r="H31" t="s">
        <v>156</v>
      </c>
      <c r="I31">
        <v>130</v>
      </c>
      <c r="J31" t="s">
        <v>157</v>
      </c>
      <c r="K31">
        <v>18000</v>
      </c>
      <c r="L31" t="s">
        <v>29</v>
      </c>
      <c r="M31">
        <f>DATEDIF(Table1[[#This Row],[AdmissionDate]],Table1[[#This Row],[DischargeDate]],"d")</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D2D79-D542-4DF7-8298-4BFBEFFC0EF9}">
  <dimension ref="A1:N41"/>
  <sheetViews>
    <sheetView zoomScale="55" zoomScaleNormal="55" workbookViewId="0">
      <selection activeCell="B7" sqref="B7"/>
    </sheetView>
  </sheetViews>
  <sheetFormatPr defaultRowHeight="14.4" x14ac:dyDescent="0.3"/>
  <cols>
    <col min="1" max="1" width="12.44140625" bestFit="1" customWidth="1"/>
    <col min="2" max="2" width="19.5546875" bestFit="1" customWidth="1"/>
    <col min="3" max="3" width="14.5546875" bestFit="1" customWidth="1"/>
    <col min="4" max="4" width="6.33203125" bestFit="1" customWidth="1"/>
    <col min="5" max="5" width="12.44140625" bestFit="1" customWidth="1"/>
    <col min="6" max="6" width="22.44140625" bestFit="1" customWidth="1"/>
    <col min="7" max="7" width="12.44140625" bestFit="1" customWidth="1"/>
    <col min="8" max="8" width="17.6640625" bestFit="1" customWidth="1"/>
    <col min="11" max="11" width="12.44140625" bestFit="1" customWidth="1"/>
    <col min="12" max="12" width="16" bestFit="1" customWidth="1"/>
    <col min="13" max="13" width="13.77734375" bestFit="1" customWidth="1"/>
    <col min="14" max="14" width="16" bestFit="1" customWidth="1"/>
  </cols>
  <sheetData>
    <row r="1" spans="1:14" x14ac:dyDescent="0.3">
      <c r="A1" t="s">
        <v>159</v>
      </c>
      <c r="B1" t="s">
        <v>160</v>
      </c>
      <c r="C1" s="2" t="s">
        <v>11</v>
      </c>
      <c r="D1" t="s">
        <v>161</v>
      </c>
      <c r="E1" s="2" t="s">
        <v>162</v>
      </c>
      <c r="F1" t="s">
        <v>165</v>
      </c>
      <c r="G1" s="2" t="s">
        <v>162</v>
      </c>
      <c r="H1" t="s">
        <v>167</v>
      </c>
    </row>
    <row r="2" spans="1:14" x14ac:dyDescent="0.3">
      <c r="A2">
        <v>30</v>
      </c>
      <c r="B2">
        <v>1017000</v>
      </c>
      <c r="E2" s="3" t="s">
        <v>15</v>
      </c>
      <c r="F2">
        <v>63714.285714285717</v>
      </c>
      <c r="G2" s="3" t="s">
        <v>33</v>
      </c>
      <c r="H2" s="4">
        <v>6.4</v>
      </c>
    </row>
    <row r="3" spans="1:14" x14ac:dyDescent="0.3">
      <c r="C3" t="s">
        <v>164</v>
      </c>
      <c r="E3" s="3" t="s">
        <v>43</v>
      </c>
      <c r="F3">
        <v>14200</v>
      </c>
      <c r="G3" s="3" t="s">
        <v>44</v>
      </c>
      <c r="H3" s="4">
        <v>3.2</v>
      </c>
    </row>
    <row r="4" spans="1:14" x14ac:dyDescent="0.3">
      <c r="C4">
        <v>1017000</v>
      </c>
      <c r="E4" s="3" t="s">
        <v>59</v>
      </c>
      <c r="F4">
        <v>37000</v>
      </c>
      <c r="G4" s="3" t="s">
        <v>25</v>
      </c>
      <c r="H4" s="4">
        <v>6.2</v>
      </c>
    </row>
    <row r="5" spans="1:14" x14ac:dyDescent="0.3">
      <c r="E5" s="3" t="s">
        <v>24</v>
      </c>
      <c r="F5">
        <v>32400</v>
      </c>
      <c r="G5" s="3" t="s">
        <v>16</v>
      </c>
      <c r="H5" s="4">
        <v>7</v>
      </c>
    </row>
    <row r="6" spans="1:14" x14ac:dyDescent="0.3">
      <c r="E6" s="3" t="s">
        <v>32</v>
      </c>
      <c r="F6">
        <v>29400</v>
      </c>
      <c r="G6" s="3" t="s">
        <v>50</v>
      </c>
      <c r="H6" s="4">
        <v>3.5</v>
      </c>
    </row>
    <row r="7" spans="1:14" x14ac:dyDescent="0.3">
      <c r="E7" s="3" t="s">
        <v>49</v>
      </c>
      <c r="F7">
        <v>10750</v>
      </c>
      <c r="G7" s="3" t="s">
        <v>60</v>
      </c>
      <c r="H7" s="4">
        <v>5.25</v>
      </c>
    </row>
    <row r="8" spans="1:14" x14ac:dyDescent="0.3">
      <c r="E8" s="3" t="s">
        <v>163</v>
      </c>
      <c r="F8">
        <v>33900</v>
      </c>
      <c r="G8" s="3" t="s">
        <v>163</v>
      </c>
      <c r="H8" s="4">
        <v>5.4333333333333336</v>
      </c>
    </row>
    <row r="10" spans="1:14" x14ac:dyDescent="0.3">
      <c r="K10" s="2" t="s">
        <v>162</v>
      </c>
      <c r="L10" t="s">
        <v>158</v>
      </c>
      <c r="M10" s="2" t="s">
        <v>162</v>
      </c>
      <c r="N10" t="s">
        <v>158</v>
      </c>
    </row>
    <row r="11" spans="1:14" x14ac:dyDescent="0.3">
      <c r="A11" s="2" t="s">
        <v>162</v>
      </c>
      <c r="B11" t="s">
        <v>168</v>
      </c>
      <c r="F11" s="2" t="s">
        <v>162</v>
      </c>
      <c r="G11" t="s">
        <v>158</v>
      </c>
      <c r="K11" s="3" t="s">
        <v>107</v>
      </c>
      <c r="L11">
        <v>1</v>
      </c>
      <c r="M11" s="3" t="s">
        <v>134</v>
      </c>
      <c r="N11">
        <v>1</v>
      </c>
    </row>
    <row r="12" spans="1:14" x14ac:dyDescent="0.3">
      <c r="A12" s="3" t="s">
        <v>15</v>
      </c>
      <c r="B12">
        <v>7</v>
      </c>
      <c r="F12" s="3" t="s">
        <v>20</v>
      </c>
      <c r="G12">
        <v>20</v>
      </c>
      <c r="K12" s="3" t="s">
        <v>17</v>
      </c>
      <c r="L12">
        <v>1</v>
      </c>
      <c r="M12" s="3" t="s">
        <v>56</v>
      </c>
      <c r="N12">
        <v>1</v>
      </c>
    </row>
    <row r="13" spans="1:14" x14ac:dyDescent="0.3">
      <c r="A13" s="3" t="s">
        <v>43</v>
      </c>
      <c r="B13">
        <v>5</v>
      </c>
      <c r="F13" s="3" t="s">
        <v>29</v>
      </c>
      <c r="G13">
        <v>10</v>
      </c>
      <c r="K13" s="3" t="s">
        <v>98</v>
      </c>
      <c r="L13">
        <v>1</v>
      </c>
      <c r="M13" s="3" t="s">
        <v>138</v>
      </c>
      <c r="N13">
        <v>1</v>
      </c>
    </row>
    <row r="14" spans="1:14" x14ac:dyDescent="0.3">
      <c r="A14" s="3" t="s">
        <v>59</v>
      </c>
      <c r="B14">
        <v>4</v>
      </c>
      <c r="F14" s="3" t="s">
        <v>163</v>
      </c>
      <c r="G14">
        <v>30</v>
      </c>
      <c r="K14" s="3" t="s">
        <v>26</v>
      </c>
      <c r="L14">
        <v>1</v>
      </c>
      <c r="M14" s="3" t="s">
        <v>113</v>
      </c>
      <c r="N14">
        <v>1</v>
      </c>
    </row>
    <row r="15" spans="1:14" x14ac:dyDescent="0.3">
      <c r="A15" s="3" t="s">
        <v>24</v>
      </c>
      <c r="B15">
        <v>5</v>
      </c>
      <c r="K15" s="3" t="s">
        <v>108</v>
      </c>
      <c r="L15">
        <v>1</v>
      </c>
      <c r="M15" s="3" t="s">
        <v>94</v>
      </c>
      <c r="N15">
        <v>1</v>
      </c>
    </row>
    <row r="16" spans="1:14" x14ac:dyDescent="0.3">
      <c r="A16" s="3" t="s">
        <v>32</v>
      </c>
      <c r="B16">
        <v>5</v>
      </c>
      <c r="K16" s="3" t="s">
        <v>120</v>
      </c>
      <c r="L16">
        <v>1</v>
      </c>
      <c r="M16" s="3" t="s">
        <v>75</v>
      </c>
      <c r="N16">
        <v>1</v>
      </c>
    </row>
    <row r="17" spans="1:14" x14ac:dyDescent="0.3">
      <c r="A17" s="3" t="s">
        <v>49</v>
      </c>
      <c r="B17">
        <v>4</v>
      </c>
      <c r="F17" s="2" t="s">
        <v>162</v>
      </c>
      <c r="G17" t="s">
        <v>158</v>
      </c>
      <c r="K17" s="3" t="s">
        <v>18</v>
      </c>
      <c r="L17">
        <v>1</v>
      </c>
      <c r="M17" s="3" t="s">
        <v>99</v>
      </c>
      <c r="N17">
        <v>1</v>
      </c>
    </row>
    <row r="18" spans="1:14" x14ac:dyDescent="0.3">
      <c r="A18" s="3" t="s">
        <v>163</v>
      </c>
      <c r="B18">
        <v>30</v>
      </c>
      <c r="F18" s="3" t="s">
        <v>33</v>
      </c>
      <c r="G18">
        <v>5</v>
      </c>
      <c r="K18" s="3" t="s">
        <v>103</v>
      </c>
      <c r="L18">
        <v>1</v>
      </c>
      <c r="M18" s="3" t="s">
        <v>52</v>
      </c>
      <c r="N18">
        <v>1</v>
      </c>
    </row>
    <row r="19" spans="1:14" x14ac:dyDescent="0.3">
      <c r="F19" s="3" t="s">
        <v>44</v>
      </c>
      <c r="G19">
        <v>5</v>
      </c>
      <c r="K19" s="3" t="s">
        <v>38</v>
      </c>
      <c r="L19">
        <v>1</v>
      </c>
      <c r="M19" s="3" t="s">
        <v>89</v>
      </c>
      <c r="N19">
        <v>1</v>
      </c>
    </row>
    <row r="20" spans="1:14" x14ac:dyDescent="0.3">
      <c r="A20" s="2" t="s">
        <v>162</v>
      </c>
      <c r="B20" t="s">
        <v>160</v>
      </c>
      <c r="F20" s="3" t="s">
        <v>25</v>
      </c>
      <c r="G20">
        <v>5</v>
      </c>
      <c r="K20" s="3" t="s">
        <v>112</v>
      </c>
      <c r="L20">
        <v>1</v>
      </c>
      <c r="M20" s="3" t="s">
        <v>35</v>
      </c>
      <c r="N20">
        <v>2</v>
      </c>
    </row>
    <row r="21" spans="1:14" x14ac:dyDescent="0.3">
      <c r="A21" s="3" t="s">
        <v>15</v>
      </c>
      <c r="B21">
        <v>446000</v>
      </c>
      <c r="F21" s="3" t="s">
        <v>16</v>
      </c>
      <c r="G21">
        <v>7</v>
      </c>
      <c r="K21" s="3" t="s">
        <v>132</v>
      </c>
      <c r="L21">
        <v>1</v>
      </c>
      <c r="M21" s="3" t="s">
        <v>129</v>
      </c>
      <c r="N21">
        <v>1</v>
      </c>
    </row>
    <row r="22" spans="1:14" x14ac:dyDescent="0.3">
      <c r="A22" s="3" t="s">
        <v>43</v>
      </c>
      <c r="B22">
        <v>71000</v>
      </c>
      <c r="F22" s="3" t="s">
        <v>50</v>
      </c>
      <c r="G22">
        <v>4</v>
      </c>
      <c r="K22" s="3" t="s">
        <v>45</v>
      </c>
      <c r="L22">
        <v>1</v>
      </c>
      <c r="M22" s="3" t="s">
        <v>104</v>
      </c>
      <c r="N22">
        <v>1</v>
      </c>
    </row>
    <row r="23" spans="1:14" x14ac:dyDescent="0.3">
      <c r="A23" s="3" t="s">
        <v>59</v>
      </c>
      <c r="B23">
        <v>148000</v>
      </c>
      <c r="F23" s="3" t="s">
        <v>60</v>
      </c>
      <c r="G23">
        <v>4</v>
      </c>
      <c r="K23" s="3" t="s">
        <v>116</v>
      </c>
      <c r="L23">
        <v>1</v>
      </c>
      <c r="M23" s="3" t="s">
        <v>19</v>
      </c>
      <c r="N23">
        <v>1</v>
      </c>
    </row>
    <row r="24" spans="1:14" x14ac:dyDescent="0.3">
      <c r="A24" s="3" t="s">
        <v>24</v>
      </c>
      <c r="B24">
        <v>162000</v>
      </c>
      <c r="F24" s="3" t="s">
        <v>163</v>
      </c>
      <c r="G24">
        <v>30</v>
      </c>
      <c r="K24" s="3" t="s">
        <v>121</v>
      </c>
      <c r="L24">
        <v>1</v>
      </c>
      <c r="M24" s="3" t="s">
        <v>40</v>
      </c>
      <c r="N24">
        <v>1</v>
      </c>
    </row>
    <row r="25" spans="1:14" x14ac:dyDescent="0.3">
      <c r="A25" s="3" t="s">
        <v>32</v>
      </c>
      <c r="B25">
        <v>147000</v>
      </c>
      <c r="K25" s="3" t="s">
        <v>27</v>
      </c>
      <c r="L25">
        <v>1</v>
      </c>
      <c r="M25" s="3" t="s">
        <v>146</v>
      </c>
      <c r="N25">
        <v>1</v>
      </c>
    </row>
    <row r="26" spans="1:14" x14ac:dyDescent="0.3">
      <c r="A26" s="3" t="s">
        <v>49</v>
      </c>
      <c r="B26">
        <v>43000</v>
      </c>
      <c r="K26" s="3" t="s">
        <v>133</v>
      </c>
      <c r="L26">
        <v>1</v>
      </c>
      <c r="M26" s="3" t="s">
        <v>67</v>
      </c>
      <c r="N26">
        <v>1</v>
      </c>
    </row>
    <row r="27" spans="1:14" x14ac:dyDescent="0.3">
      <c r="A27" s="3" t="s">
        <v>163</v>
      </c>
      <c r="B27">
        <v>1017000</v>
      </c>
      <c r="K27" s="3" t="s">
        <v>124</v>
      </c>
      <c r="L27">
        <v>1</v>
      </c>
      <c r="M27" s="3" t="s">
        <v>28</v>
      </c>
      <c r="N27">
        <v>3</v>
      </c>
    </row>
    <row r="28" spans="1:14" x14ac:dyDescent="0.3">
      <c r="K28" s="3" t="s">
        <v>34</v>
      </c>
      <c r="L28">
        <v>1</v>
      </c>
      <c r="M28" s="3" t="s">
        <v>153</v>
      </c>
      <c r="N28">
        <v>1</v>
      </c>
    </row>
    <row r="29" spans="1:14" x14ac:dyDescent="0.3">
      <c r="K29" s="3" t="s">
        <v>141</v>
      </c>
      <c r="L29">
        <v>1</v>
      </c>
      <c r="M29" s="3" t="s">
        <v>125</v>
      </c>
      <c r="N29">
        <v>1</v>
      </c>
    </row>
    <row r="30" spans="1:14" x14ac:dyDescent="0.3">
      <c r="K30" s="3" t="s">
        <v>51</v>
      </c>
      <c r="L30">
        <v>1</v>
      </c>
      <c r="M30" s="3" t="s">
        <v>117</v>
      </c>
      <c r="N30">
        <v>1</v>
      </c>
    </row>
    <row r="31" spans="1:14" x14ac:dyDescent="0.3">
      <c r="K31" s="3" t="s">
        <v>128</v>
      </c>
      <c r="L31">
        <v>1</v>
      </c>
      <c r="M31" s="3" t="s">
        <v>142</v>
      </c>
      <c r="N31">
        <v>1</v>
      </c>
    </row>
    <row r="32" spans="1:14" x14ac:dyDescent="0.3">
      <c r="K32" s="3" t="s">
        <v>65</v>
      </c>
      <c r="L32">
        <v>1</v>
      </c>
      <c r="M32" s="3" t="s">
        <v>62</v>
      </c>
      <c r="N32">
        <v>1</v>
      </c>
    </row>
    <row r="33" spans="11:14" x14ac:dyDescent="0.3">
      <c r="K33" s="3" t="s">
        <v>70</v>
      </c>
      <c r="L33">
        <v>1</v>
      </c>
      <c r="M33" s="3" t="s">
        <v>109</v>
      </c>
      <c r="N33">
        <v>1</v>
      </c>
    </row>
    <row r="34" spans="11:14" x14ac:dyDescent="0.3">
      <c r="K34" s="3" t="s">
        <v>55</v>
      </c>
      <c r="L34">
        <v>1</v>
      </c>
      <c r="M34" s="3" t="s">
        <v>46</v>
      </c>
      <c r="N34">
        <v>1</v>
      </c>
    </row>
    <row r="35" spans="11:14" x14ac:dyDescent="0.3">
      <c r="K35" s="3" t="s">
        <v>78</v>
      </c>
      <c r="L35">
        <v>1</v>
      </c>
      <c r="M35" s="3" t="s">
        <v>157</v>
      </c>
      <c r="N35">
        <v>1</v>
      </c>
    </row>
    <row r="36" spans="11:14" x14ac:dyDescent="0.3">
      <c r="K36" s="3" t="s">
        <v>83</v>
      </c>
      <c r="L36">
        <v>1</v>
      </c>
      <c r="M36" s="3" t="s">
        <v>80</v>
      </c>
      <c r="N36">
        <v>1</v>
      </c>
    </row>
    <row r="37" spans="11:14" x14ac:dyDescent="0.3">
      <c r="K37" s="3" t="s">
        <v>71</v>
      </c>
      <c r="L37">
        <v>1</v>
      </c>
      <c r="M37" s="3" t="s">
        <v>85</v>
      </c>
      <c r="N37">
        <v>1</v>
      </c>
    </row>
    <row r="38" spans="11:14" x14ac:dyDescent="0.3">
      <c r="K38" s="3" t="s">
        <v>92</v>
      </c>
      <c r="L38">
        <v>1</v>
      </c>
      <c r="M38" s="3" t="s">
        <v>163</v>
      </c>
      <c r="N38">
        <v>30</v>
      </c>
    </row>
    <row r="39" spans="11:14" x14ac:dyDescent="0.3">
      <c r="K39" s="3" t="s">
        <v>97</v>
      </c>
      <c r="L39">
        <v>1</v>
      </c>
    </row>
    <row r="40" spans="11:14" x14ac:dyDescent="0.3">
      <c r="K40" s="3" t="s">
        <v>102</v>
      </c>
      <c r="L40">
        <v>1</v>
      </c>
    </row>
    <row r="41" spans="11:14" x14ac:dyDescent="0.3">
      <c r="K41" s="3" t="s">
        <v>163</v>
      </c>
      <c r="L41">
        <v>30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7A2A2-1F38-4DC0-95C8-B4155AE1A725}">
  <dimension ref="Y12"/>
  <sheetViews>
    <sheetView showGridLines="0" tabSelected="1" zoomScale="70" zoomScaleNormal="70" workbookViewId="0">
      <selection activeCell="Z657" sqref="Z657"/>
    </sheetView>
  </sheetViews>
  <sheetFormatPr defaultRowHeight="14.4" x14ac:dyDescent="0.3"/>
  <sheetData>
    <row r="12" spans="25:25" x14ac:dyDescent="0.3">
      <c r="Y12" t="s">
        <v>169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PatientData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Parashar</dc:creator>
  <cp:lastModifiedBy>Mohit Parashar</cp:lastModifiedBy>
  <dcterms:created xsi:type="dcterms:W3CDTF">2025-10-17T14:39:00Z</dcterms:created>
  <dcterms:modified xsi:type="dcterms:W3CDTF">2026-03-15T06:10:00Z</dcterms:modified>
</cp:coreProperties>
</file>